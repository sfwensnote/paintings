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ebbe0a5ed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2类型与锚点" sheetId="1" r:id="R78fc9e1a709a4d99"/>
    <x:sheet xmlns:r="http://schemas.openxmlformats.org/officeDocument/2006/relationships" name="维度编码" sheetId="2" r:id="R981f5070d3504110"/>
    <x:sheet xmlns:r="http://schemas.openxmlformats.org/officeDocument/2006/relationships" name="待复核与备选" sheetId="3" r:id="R27d95d6e6d144c05"/>
    <x:sheet xmlns:r="http://schemas.openxmlformats.org/officeDocument/2006/relationships" name="设计说明" sheetId="4" r:id="Ra4d50216ec6f4242"/>
    <x:sheet xmlns:r="http://schemas.openxmlformats.org/officeDocument/2006/relationships" name="连续评分与叙事" sheetId="5" r:id="Rbdc703c5d21a4f91"/>
    <x:sheet xmlns:r="http://schemas.openxmlformats.org/officeDocument/2006/relationships" name="资产说明" sheetId="6" r:id="R450d7122e53b4fdc"/>
    <x:sheet xmlns:r="http://schemas.openxmlformats.org/officeDocument/2006/relationships" name="质量检查" sheetId="7" r:id="R906f692e9db4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8FBFE"/>
      </x:patternFill>
    </x:fill>
    <x:fill>
      <x:patternFill patternType="solid">
        <x:fgColor rgb="FFFFF9F2"/>
      </x:patternFill>
    </x:fill>
    <x:fill>
      <x:patternFill patternType="solid">
        <x:fgColor rgb="FF2F485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color rgb="FF0F5132"/>
      </x:font>
      <x:fill>
        <x:patternFill patternType="solid">
          <x:bgColor rgb="FFD1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232ef50f94fc4" /><Relationship Type="http://schemas.openxmlformats.org/officeDocument/2006/relationships/theme" Target="/xl/theme/theme1.xml" Id="R6e6e3b61f8f64dd2" /><Relationship Type="http://schemas.openxmlformats.org/officeDocument/2006/relationships/sharedStrings" Target="/xl/sharedStrings.xml" Id="R79e8d0f8b7874a97" /><Relationship Type="http://schemas.openxmlformats.org/officeDocument/2006/relationships/worksheet" Target="/xl/worksheets/sheet1.xml" Id="R78fc9e1a709a4d99" /><Relationship Type="http://schemas.openxmlformats.org/officeDocument/2006/relationships/worksheet" Target="/xl/worksheets/sheet2.xml" Id="R981f5070d3504110" /><Relationship Type="http://schemas.openxmlformats.org/officeDocument/2006/relationships/worksheet" Target="/xl/worksheets/sheet3.xml" Id="R27d95d6e6d144c05" /><Relationship Type="http://schemas.openxmlformats.org/officeDocument/2006/relationships/worksheet" Target="/xl/worksheets/sheet4.xml" Id="Ra4d50216ec6f4242" /><Relationship Type="http://schemas.openxmlformats.org/officeDocument/2006/relationships/worksheet" Target="/xl/worksheets/sheet5.xml" Id="Rbdc703c5d21a4f91" /><Relationship Type="http://schemas.openxmlformats.org/officeDocument/2006/relationships/worksheet" Target="/xl/worksheets/sheet6.xml" Id="R450d7122e53b4fdc" /><Relationship Type="http://schemas.openxmlformats.org/officeDocument/2006/relationships/worksheet" Target="/xl/worksheets/sheet7.xml" Id="R906f692e9db44eca" /></Relationships>
</file>

<file path=xl/tables/table1.xml><?xml version="1.0" encoding="utf-8"?>
<x:table xmlns:x="http://schemas.openxmlformats.org/spreadsheetml/2006/main" id="1" name="TypeAnchorTable" displayName="TypeAnchorTable" ref="A1:N33" headerRowCount="1" totalsRowCount="0" totalsRowShown="0">
  <x:tableColumns count="14">
    <x:tableColumn id="1" name="类型ID"/>
    <x:tableColumn id="2" name="编码(C-S-A-E-I)"/>
    <x:tableColumn id="3" name="D1 联结"/>
    <x:tableColumn id="4" name="D2 结构"/>
    <x:tableColumn id="5" name="D3 情感"/>
    <x:tableColumn id="6" name="D4 探索"/>
    <x:tableColumn id="7" name="D5 想象"/>
    <x:tableColumn id="8" name="类型描述"/>
    <x:tableColumn id="9" name="锚点作品"/>
    <x:tableColumn id="10" name="作者"/>
    <x:tableColumn id="11" name="年代"/>
    <x:tableColumn id="12" name="文化/流派"/>
    <x:tableColumn id="13" name="匹配理由"/>
    <x:tableColumn id="14" name="当前置信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ensionCodeTable" displayName="DimensionCodeTable" ref="A1:E6" headerRowCount="1" totalsRowCount="0" totalsRowShown="0">
  <x:tableColumns count="5">
    <x:tableColumn id="1" name="维度"/>
    <x:tableColumn id="2" name="0端"/>
    <x:tableColumn id="3" name="1端"/>
    <x:tableColumn id="4" name="用户层含义"/>
    <x:tableColumn id="5" name="画作层判断标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upTable" displayName="BackupTable" ref="A1:E9" headerRowCount="1" totalsRowCount="0" totalsRowShown="0">
  <x:tableColumns count="5">
    <x:tableColumn id="1" name="类型ID"/>
    <x:tableColumn id="2" name="当前锚点"/>
    <x:tableColumn id="3" name="备选作品1"/>
    <x:tableColumn id="4" name="备选作品2"/>
    <x:tableColumn id="5" name="为什么需要复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NotesTable" displayName="DesignNotesTable" ref="A1:B10" headerRowCount="1" totalsRowCount="0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1662677d3543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061bd7f20647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e4c9aaca0d44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fff85eb9064b1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30" hidden="0" customWidth="1"/>
    <x:col min="9" max="9" width="24" hidden="0" customWidth="1"/>
    <x:col min="10" max="10" width="24" hidden="0" customWidth="1"/>
    <x:col min="11" max="11" width="14" hidden="0" customWidth="1"/>
    <x:col min="12" max="12" width="24" hidden="0" customWidth="1"/>
    <x:col min="13" max="13" width="58" hidden="0" customWidth="1"/>
    <x:col min="14" max="14" width="12" hidden="0" customWidth="1"/>
  </x:cols>
  <x:sheetData>
    <x:row r="1">
      <x:c r="A1" s="10" t="str">
        <x:v>类型ID</x:v>
      </x:c>
      <x:c r="B1" s="10" t="str">
        <x:v>编码(C-S-A-E-I)</x:v>
      </x:c>
      <x:c r="C1" s="10" t="str">
        <x:v>D1 联结</x:v>
      </x:c>
      <x:c r="D1" s="10" t="str">
        <x:v>D2 结构</x:v>
      </x:c>
      <x:c r="E1" s="10" t="str">
        <x:v>D3 情感</x:v>
      </x:c>
      <x:c r="F1" s="10" t="str">
        <x:v>D4 探索</x:v>
      </x:c>
      <x:c r="G1" s="10" t="str">
        <x:v>D5 想象</x:v>
      </x:c>
      <x:c r="H1" s="10" t="str">
        <x:v>类型描述</x:v>
      </x:c>
      <x:c r="I1" s="10" t="str">
        <x:v>锚点作品</x:v>
      </x:c>
      <x:c r="J1" s="10" t="str">
        <x:v>作者</x:v>
      </x:c>
      <x:c r="K1" s="10" t="str">
        <x:v>年代</x:v>
      </x:c>
      <x:c r="L1" s="10" t="str">
        <x:v>文化/流派</x:v>
      </x:c>
      <x:c r="M1" s="10" t="str">
        <x:v>匹配理由</x:v>
      </x:c>
      <x:c r="N1" s="10" t="str">
        <x:v>当前置信度</x:v>
      </x:c>
    </x:row>
    <x:row r="2">
      <x:c r="A2" s="28" t="str">
        <x:v>T01</x:v>
      </x:c>
      <x:c r="B2" s="28" t="str">
        <x:v>0-0-0-0-0</x:v>
      </x:c>
      <x:c r="C2" s="28" t="str">
        <x:v>独处</x:v>
      </x:c>
      <x:c r="D2" s="28" t="str">
        <x:v>自发</x:v>
      </x:c>
      <x:c r="E2" s="28" t="str">
        <x:v>克制</x:v>
      </x:c>
      <x:c r="F2" s="28" t="str">
        <x:v>熟悉</x:v>
      </x:c>
      <x:c r="G2" s="28" t="str">
        <x:v>现实</x:v>
      </x:c>
      <x:c r="H2" s="29" t="str">
        <x:v>独处·自发·克制·熟悉·现实</x:v>
      </x:c>
      <x:c r="I2" s="29" t="str">
        <x:v>《喜鹊》</x:v>
      </x:c>
      <x:c r="J2" s="29" t="str">
        <x:v>Claude Monet</x:v>
      </x:c>
      <x:c r="K2" s="29" t="str">
        <x:v>1868–1869</x:v>
      </x:c>
      <x:c r="L2" s="29" t="str">
        <x:v>法国 / 印象派</x:v>
      </x:c>
      <x:c r="M2" s="29" t="str">
        <x:v>雪地、孤景、日常环境；画面松动而情绪收敛，适合作为低刺激现实型锚点</x:v>
      </x:c>
      <x:c r="N2" s="28" t="str">
        <x:v>较高</x:v>
      </x:c>
    </x:row>
    <x:row r="3">
      <x:c r="A3" s="28" t="str">
        <x:v>T02</x:v>
      </x:c>
      <x:c r="B3" s="28" t="str">
        <x:v>0-0-0-0-1</x:v>
      </x:c>
      <x:c r="C3" s="28" t="str">
        <x:v>独处</x:v>
      </x:c>
      <x:c r="D3" s="28" t="str">
        <x:v>自发</x:v>
      </x:c>
      <x:c r="E3" s="28" t="str">
        <x:v>克制</x:v>
      </x:c>
      <x:c r="F3" s="28" t="str">
        <x:v>熟悉</x:v>
      </x:c>
      <x:c r="G3" s="28" t="str">
        <x:v>想象</x:v>
      </x:c>
      <x:c r="H3" s="29" t="str">
        <x:v>独处·自发·克制·熟悉·想象</x:v>
      </x:c>
      <x:c r="I3" s="29" t="str">
        <x:v>《蓝与金的夜曲：老巴特西桥》</x:v>
      </x:c>
      <x:c r="J3" s="29" t="str">
        <x:v>James McNeill Whistler</x:v>
      </x:c>
      <x:c r="K3" s="29" t="str">
        <x:v>c.1872–1875</x:v>
      </x:c>
      <x:c r="L3" s="29" t="str">
        <x:v>英美 / 唯美主义</x:v>
      </x:c>
      <x:c r="M3" s="29" t="str">
        <x:v>熟悉的城市夜景被处理成朦胧、近乎抽象的视觉感受；克制而富想象</x:v>
      </x:c>
      <x:c r="N3" s="28" t="str">
        <x:v>高</x:v>
      </x:c>
    </x:row>
    <x:row r="4">
      <x:c r="A4" s="28" t="str">
        <x:v>T03</x:v>
      </x:c>
      <x:c r="B4" s="28" t="str">
        <x:v>0-0-0-1-0</x:v>
      </x:c>
      <x:c r="C4" s="28" t="str">
        <x:v>独处</x:v>
      </x:c>
      <x:c r="D4" s="28" t="str">
        <x:v>自发</x:v>
      </x:c>
      <x:c r="E4" s="28" t="str">
        <x:v>克制</x:v>
      </x:c>
      <x:c r="F4" s="28" t="str">
        <x:v>探索</x:v>
      </x:c>
      <x:c r="G4" s="28" t="str">
        <x:v>现实</x:v>
      </x:c>
      <x:c r="H4" s="29" t="str">
        <x:v>独处·自发·克制·探索·现实</x:v>
      </x:c>
      <x:c r="I4" s="29" t="str">
        <x:v>《雾警》</x:v>
      </x:c>
      <x:c r="J4" s="29" t="str">
        <x:v>Winslow Homer</x:v>
      </x:c>
      <x:c r="K4" s="29" t="str">
        <x:v>1885</x:v>
      </x:c>
      <x:c r="L4" s="29" t="str">
        <x:v>美国 / 现实主义</x:v>
      </x:c>
      <x:c r="M4" s="29" t="str">
        <x:v>孤身渔夫面对开放海域，现实任务明确，探索性高；情绪紧张但表达仍较克制</x:v>
      </x:c>
      <x:c r="N4" s="28" t="str">
        <x:v>中</x:v>
      </x:c>
    </x:row>
    <x:row r="5">
      <x:c r="A5" s="28" t="str">
        <x:v>T04</x:v>
      </x:c>
      <x:c r="B5" s="28" t="str">
        <x:v>0-0-0-1-1</x:v>
      </x:c>
      <x:c r="C5" s="28" t="str">
        <x:v>独处</x:v>
      </x:c>
      <x:c r="D5" s="28" t="str">
        <x:v>自发</x:v>
      </x:c>
      <x:c r="E5" s="28" t="str">
        <x:v>克制</x:v>
      </x:c>
      <x:c r="F5" s="28" t="str">
        <x:v>探索</x:v>
      </x:c>
      <x:c r="G5" s="28" t="str">
        <x:v>想象</x:v>
      </x:c>
      <x:c r="H5" s="29" t="str">
        <x:v>独处·自发·克制·探索·想象</x:v>
      </x:c>
      <x:c r="I5" s="29" t="str">
        <x:v>《富春山居图》</x:v>
      </x:c>
      <x:c r="J5" s="29" t="str">
        <x:v>黄公望</x:v>
      </x:c>
      <x:c r="K5" s="29" t="str">
        <x:v>1347–1350</x:v>
      </x:c>
      <x:c r="L5" s="29" t="str">
        <x:v>中国 / 元代山水</x:v>
      </x:c>
      <x:c r="M5" s="29" t="str">
        <x:v>游观式山水、笔意自由、情绪节制；现实山川被转化为精神漫游空间</x:v>
      </x:c>
      <x:c r="N5" s="28" t="str">
        <x:v>高</x:v>
      </x:c>
    </x:row>
    <x:row r="6">
      <x:c r="A6" s="28" t="str">
        <x:v>T05</x:v>
      </x:c>
      <x:c r="B6" s="28" t="str">
        <x:v>0-0-1-0-0</x:v>
      </x:c>
      <x:c r="C6" s="28" t="str">
        <x:v>独处</x:v>
      </x:c>
      <x:c r="D6" s="28" t="str">
        <x:v>自发</x:v>
      </x:c>
      <x:c r="E6" s="28" t="str">
        <x:v>强烈</x:v>
      </x:c>
      <x:c r="F6" s="28" t="str">
        <x:v>熟悉</x:v>
      </x:c>
      <x:c r="G6" s="28" t="str">
        <x:v>现实</x:v>
      </x:c>
      <x:c r="H6" s="29" t="str">
        <x:v>独处·自发·强烈·熟悉·现实</x:v>
      </x:c>
      <x:c r="I6" s="29" t="str">
        <x:v>《麦田群鸦》</x:v>
      </x:c>
      <x:c r="J6" s="29" t="str">
        <x:v>Vincent van Gogh</x:v>
      </x:c>
      <x:c r="K6" s="29" t="str">
        <x:v>1890</x:v>
      </x:c>
      <x:c r="L6" s="29" t="str">
        <x:v>荷兰 / 后印象派</x:v>
      </x:c>
      <x:c r="M6" s="29" t="str">
        <x:v>熟悉乡野题材，但笔触与色彩高度情绪化；场景仍立足现实而非幻想</x:v>
      </x:c>
      <x:c r="N6" s="28" t="str">
        <x:v>高</x:v>
      </x:c>
    </x:row>
    <x:row r="7">
      <x:c r="A7" s="28" t="str">
        <x:v>T06</x:v>
      </x:c>
      <x:c r="B7" s="28" t="str">
        <x:v>0-0-1-0-1</x:v>
      </x:c>
      <x:c r="C7" s="28" t="str">
        <x:v>独处</x:v>
      </x:c>
      <x:c r="D7" s="28" t="str">
        <x:v>自发</x:v>
      </x:c>
      <x:c r="E7" s="28" t="str">
        <x:v>强烈</x:v>
      </x:c>
      <x:c r="F7" s="28" t="str">
        <x:v>熟悉</x:v>
      </x:c>
      <x:c r="G7" s="28" t="str">
        <x:v>想象</x:v>
      </x:c>
      <x:c r="H7" s="29" t="str">
        <x:v>独处·自发·强烈·熟悉·想象</x:v>
      </x:c>
      <x:c r="I7" s="29" t="str">
        <x:v>《星月夜》</x:v>
      </x:c>
      <x:c r="J7" s="29" t="str">
        <x:v>Vincent van Gogh</x:v>
      </x:c>
      <x:c r="K7" s="29" t="str">
        <x:v>1889</x:v>
      </x:c>
      <x:c r="L7" s="29" t="str">
        <x:v>荷兰 / 后印象派</x:v>
      </x:c>
      <x:c r="M7" s="29" t="str">
        <x:v>熟悉夜景被主观化为旋动、夸张的精神景观；高情绪与高想象并存</x:v>
      </x:c>
      <x:c r="N7" s="28" t="str">
        <x:v>高</x:v>
      </x:c>
    </x:row>
    <x:row r="8">
      <x:c r="A8" s="28" t="str">
        <x:v>T07</x:v>
      </x:c>
      <x:c r="B8" s="28" t="str">
        <x:v>0-0-1-1-0</x:v>
      </x:c>
      <x:c r="C8" s="28" t="str">
        <x:v>独处</x:v>
      </x:c>
      <x:c r="D8" s="28" t="str">
        <x:v>自发</x:v>
      </x:c>
      <x:c r="E8" s="28" t="str">
        <x:v>强烈</x:v>
      </x:c>
      <x:c r="F8" s="28" t="str">
        <x:v>探索</x:v>
      </x:c>
      <x:c r="G8" s="28" t="str">
        <x:v>现实</x:v>
      </x:c>
      <x:c r="H8" s="29" t="str">
        <x:v>独处·自发·强烈·探索·现实</x:v>
      </x:c>
      <x:c r="I8" s="29" t="str">
        <x:v>《雨、蒸汽和速度》</x:v>
      </x:c>
      <x:c r="J8" s="29" t="str">
        <x:v>J. M. W. Turner</x:v>
      </x:c>
      <x:c r="K8" s="29" t="str">
        <x:v>1844</x:v>
      </x:c>
      <x:c r="L8" s="29" t="str">
        <x:v>英国 / 浪漫主义</x:v>
      </x:c>
      <x:c r="M8" s="29" t="str">
        <x:v>速度、交通与天气形成强烈动势；主题指向现代旅行和现实世界的变化</x:v>
      </x:c>
      <x:c r="N8" s="28" t="str">
        <x:v>高</x:v>
      </x:c>
    </x:row>
    <x:row r="9">
      <x:c r="A9" s="28" t="str">
        <x:v>T08</x:v>
      </x:c>
      <x:c r="B9" s="28" t="str">
        <x:v>0-0-1-1-1</x:v>
      </x:c>
      <x:c r="C9" s="28" t="str">
        <x:v>独处</x:v>
      </x:c>
      <x:c r="D9" s="28" t="str">
        <x:v>自发</x:v>
      </x:c>
      <x:c r="E9" s="28" t="str">
        <x:v>强烈</x:v>
      </x:c>
      <x:c r="F9" s="28" t="str">
        <x:v>探索</x:v>
      </x:c>
      <x:c r="G9" s="28" t="str">
        <x:v>想象</x:v>
      </x:c>
      <x:c r="H9" s="29" t="str">
        <x:v>独处·自发·强烈·探索·想象</x:v>
      </x:c>
      <x:c r="I9" s="29" t="str">
        <x:v>《冰海》</x:v>
      </x:c>
      <x:c r="J9" s="29" t="str">
        <x:v>Caspar David Friedrich</x:v>
      </x:c>
      <x:c r="K9" s="29" t="str">
        <x:v>1823–1824</x:v>
      </x:c>
      <x:c r="L9" s="29" t="str">
        <x:v>德国 / 浪漫主义</x:v>
      </x:c>
      <x:c r="M9" s="29" t="str">
        <x:v>破碎冰层构成近乎非现实的极端自然体验；孤绝、未知、危险与崇高感突出</x:v>
      </x:c>
      <x:c r="N9" s="28" t="str">
        <x:v>中高</x:v>
      </x:c>
    </x:row>
    <x:row r="10">
      <x:c r="A10" s="28" t="str">
        <x:v>T09</x:v>
      </x:c>
      <x:c r="B10" s="28" t="str">
        <x:v>0-1-0-0-0</x:v>
      </x:c>
      <x:c r="C10" s="28" t="str">
        <x:v>独处</x:v>
      </x:c>
      <x:c r="D10" s="28" t="str">
        <x:v>秩序</x:v>
      </x:c>
      <x:c r="E10" s="28" t="str">
        <x:v>克制</x:v>
      </x:c>
      <x:c r="F10" s="28" t="str">
        <x:v>熟悉</x:v>
      </x:c>
      <x:c r="G10" s="28" t="str">
        <x:v>现实</x:v>
      </x:c>
      <x:c r="H10" s="29" t="str">
        <x:v>独处·秩序·克制·熟悉·现实</x:v>
      </x:c>
      <x:c r="I10" s="29" t="str">
        <x:v>《室内：背对观者的年轻女子》</x:v>
      </x:c>
      <x:c r="J10" s="29" t="str">
        <x:v>Vilhelm Hammershøi</x:v>
      </x:c>
      <x:c r="K10" s="29" t="str">
        <x:v>1904</x:v>
      </x:c>
      <x:c r="L10" s="29" t="str">
        <x:v>丹麦 / 象征主义·室内画</x:v>
      </x:c>
      <x:c r="M10" s="29" t="str">
        <x:v>封闭室内、几何秩序、低饱和和安静人物构成高度克制的现实日常</x:v>
      </x:c>
      <x:c r="N10" s="28" t="str">
        <x:v>高</x:v>
      </x:c>
    </x:row>
    <x:row r="11">
      <x:c r="A11" s="28" t="str">
        <x:v>T10</x:v>
      </x:c>
      <x:c r="B11" s="28" t="str">
        <x:v>0-1-0-0-1</x:v>
      </x:c>
      <x:c r="C11" s="28" t="str">
        <x:v>独处</x:v>
      </x:c>
      <x:c r="D11" s="28" t="str">
        <x:v>秩序</x:v>
      </x:c>
      <x:c r="E11" s="28" t="str">
        <x:v>克制</x:v>
      </x:c>
      <x:c r="F11" s="28" t="str">
        <x:v>熟悉</x:v>
      </x:c>
      <x:c r="G11" s="28" t="str">
        <x:v>想象</x:v>
      </x:c>
      <x:c r="H11" s="29" t="str">
        <x:v>独处·秩序·克制·熟悉·想象</x:v>
      </x:c>
      <x:c r="I11" s="29" t="str">
        <x:v>《街道的神秘与忧郁》</x:v>
      </x:c>
      <x:c r="J11" s="29" t="str">
        <x:v>Giorgio de Chirico</x:v>
      </x:c>
      <x:c r="K11" s="29" t="str">
        <x:v>1914</x:v>
      </x:c>
      <x:c r="L11" s="29" t="str">
        <x:v>意大利 / 形而上绘画</x:v>
      </x:c>
      <x:c r="M11" s="29" t="str">
        <x:v>城市空间秩序严谨，但透视、空场和阴影制造超现实心理空间</x:v>
      </x:c>
      <x:c r="N11" s="28" t="str">
        <x:v>高</x:v>
      </x:c>
    </x:row>
    <x:row r="12">
      <x:c r="A12" s="28" t="str">
        <x:v>T11</x:v>
      </x:c>
      <x:c r="B12" s="28" t="str">
        <x:v>0-1-0-1-0</x:v>
      </x:c>
      <x:c r="C12" s="28" t="str">
        <x:v>独处</x:v>
      </x:c>
      <x:c r="D12" s="28" t="str">
        <x:v>秩序</x:v>
      </x:c>
      <x:c r="E12" s="28" t="str">
        <x:v>克制</x:v>
      </x:c>
      <x:c r="F12" s="28" t="str">
        <x:v>探索</x:v>
      </x:c>
      <x:c r="G12" s="28" t="str">
        <x:v>现实</x:v>
      </x:c>
      <x:c r="H12" s="29" t="str">
        <x:v>独处·秩序·克制·探索·现实</x:v>
      </x:c>
      <x:c r="I12" s="29" t="str">
        <x:v>《溪山行旅图》</x:v>
      </x:c>
      <x:c r="J12" s="29" t="str">
        <x:v>范宽</x:v>
      </x:c>
      <x:c r="K12" s="29" t="str">
        <x:v>约1000</x:v>
      </x:c>
      <x:c r="L12" s="29" t="str">
        <x:v>中国 / 北宋山水</x:v>
      </x:c>
      <x:c r="M12" s="29" t="str">
        <x:v>宏大山体结构严整，人物极小；强调进入自然、行旅和现实空间中的探索</x:v>
      </x:c>
      <x:c r="N12" s="28" t="str">
        <x:v>高</x:v>
      </x:c>
    </x:row>
    <x:row r="13">
      <x:c r="A13" s="28" t="str">
        <x:v>T12</x:v>
      </x:c>
      <x:c r="B13" s="28" t="str">
        <x:v>0-1-0-1-1</x:v>
      </x:c>
      <x:c r="C13" s="28" t="str">
        <x:v>独处</x:v>
      </x:c>
      <x:c r="D13" s="28" t="str">
        <x:v>秩序</x:v>
      </x:c>
      <x:c r="E13" s="28" t="str">
        <x:v>克制</x:v>
      </x:c>
      <x:c r="F13" s="28" t="str">
        <x:v>探索</x:v>
      </x:c>
      <x:c r="G13" s="28" t="str">
        <x:v>想象</x:v>
      </x:c>
      <x:c r="H13" s="29" t="str">
        <x:v>独处·秩序·克制·探索·想象</x:v>
      </x:c>
      <x:c r="I13" s="29" t="str">
        <x:v>《海边的僧侣》</x:v>
      </x:c>
      <x:c r="J13" s="29" t="str">
        <x:v>Caspar David Friedrich</x:v>
      </x:c>
      <x:c r="K13" s="29" t="str">
        <x:v>1808–1810</x:v>
      </x:c>
      <x:c r="L13" s="29" t="str">
        <x:v>德国 / 浪漫主义</x:v>
      </x:c>
      <x:c r="M13" s="29" t="str">
        <x:v>极简层次高度有序，人物独处面对未知海天；情绪含蓄但精神指向超越</x:v>
      </x:c>
      <x:c r="N13" s="28" t="str">
        <x:v>高</x:v>
      </x:c>
    </x:row>
    <x:row r="14">
      <x:c r="A14" s="28" t="str">
        <x:v>T13</x:v>
      </x:c>
      <x:c r="B14" s="28" t="str">
        <x:v>0-1-1-0-0</x:v>
      </x:c>
      <x:c r="C14" s="28" t="str">
        <x:v>独处</x:v>
      </x:c>
      <x:c r="D14" s="28" t="str">
        <x:v>秩序</x:v>
      </x:c>
      <x:c r="E14" s="28" t="str">
        <x:v>强烈</x:v>
      </x:c>
      <x:c r="F14" s="28" t="str">
        <x:v>熟悉</x:v>
      </x:c>
      <x:c r="G14" s="28" t="str">
        <x:v>现实</x:v>
      </x:c>
      <x:c r="H14" s="29" t="str">
        <x:v>独处·秩序·强烈·熟悉·现实</x:v>
      </x:c>
      <x:c r="I14" s="29" t="str">
        <x:v>《包扎耳朵的自画像》</x:v>
      </x:c>
      <x:c r="J14" s="29" t="str">
        <x:v>Vincent van Gogh</x:v>
      </x:c>
      <x:c r="K14" s="29" t="str">
        <x:v>1889</x:v>
      </x:c>
      <x:c r="L14" s="29" t="str">
        <x:v>荷兰 / 后印象派</x:v>
      </x:c>
      <x:c r="M14" s="29" t="str">
        <x:v>肖像结构稳定、场景具体，但个人处境与色彩产生明显情绪张力</x:v>
      </x:c>
      <x:c r="N14" s="28" t="str">
        <x:v>高</x:v>
      </x:c>
    </x:row>
    <x:row r="15">
      <x:c r="A15" s="28" t="str">
        <x:v>T14</x:v>
      </x:c>
      <x:c r="B15" s="28" t="str">
        <x:v>0-1-1-0-1</x:v>
      </x:c>
      <x:c r="C15" s="28" t="str">
        <x:v>独处</x:v>
      </x:c>
      <x:c r="D15" s="28" t="str">
        <x:v>秩序</x:v>
      </x:c>
      <x:c r="E15" s="28" t="str">
        <x:v>强烈</x:v>
      </x:c>
      <x:c r="F15" s="28" t="str">
        <x:v>熟悉</x:v>
      </x:c>
      <x:c r="G15" s="28" t="str">
        <x:v>想象</x:v>
      </x:c>
      <x:c r="H15" s="29" t="str">
        <x:v>独处·秩序·强烈·熟悉·想象</x:v>
      </x:c>
      <x:c r="I15" s="29" t="str">
        <x:v>《呐喊》</x:v>
      </x:c>
      <x:c r="J15" s="29" t="str">
        <x:v>Edvard Munch</x:v>
      </x:c>
      <x:c r="K15" s="29" t="str">
        <x:v>1893</x:v>
      </x:c>
      <x:c r="L15" s="29" t="str">
        <x:v>挪威 / 表现主义</x:v>
      </x:c>
      <x:c r="M15" s="29" t="str">
        <x:v>桥、人物和透视结构明确；现实环境被夸张为强烈心理与象征图像</x:v>
      </x:c>
      <x:c r="N15" s="28" t="str">
        <x:v>高</x:v>
      </x:c>
    </x:row>
    <x:row r="16">
      <x:c r="A16" s="28" t="str">
        <x:v>T15</x:v>
      </x:c>
      <x:c r="B16" s="28" t="str">
        <x:v>0-1-1-1-0</x:v>
      </x:c>
      <x:c r="C16" s="28" t="str">
        <x:v>独处</x:v>
      </x:c>
      <x:c r="D16" s="28" t="str">
        <x:v>秩序</x:v>
      </x:c>
      <x:c r="E16" s="28" t="str">
        <x:v>强烈</x:v>
      </x:c>
      <x:c r="F16" s="28" t="str">
        <x:v>探索</x:v>
      </x:c>
      <x:c r="G16" s="28" t="str">
        <x:v>现实</x:v>
      </x:c>
      <x:c r="H16" s="29" t="str">
        <x:v>独处·秩序·强烈·探索·现实</x:v>
      </x:c>
      <x:c r="I16" s="29" t="str">
        <x:v>《跨越阿尔卑斯山圣伯纳隘道的拿破仑》</x:v>
      </x:c>
      <x:c r="J16" s="29" t="str">
        <x:v>Jacques-Louis David</x:v>
      </x:c>
      <x:c r="K16" s="29" t="str">
        <x:v>1801</x:v>
      </x:c>
      <x:c r="L16" s="29" t="str">
        <x:v>法国 / 新古典主义</x:v>
      </x:c>
      <x:c r="M16" s="29" t="str">
        <x:v>单一英雄主体、构图高度控制；行动目标明确，突出远征、意志与现实历史叙事</x:v>
      </x:c>
      <x:c r="N16" s="28" t="str">
        <x:v>中高</x:v>
      </x:c>
    </x:row>
    <x:row r="17">
      <x:c r="A17" s="28" t="str">
        <x:v>T16</x:v>
      </x:c>
      <x:c r="B17" s="28" t="str">
        <x:v>0-1-1-1-1</x:v>
      </x:c>
      <x:c r="C17" s="28" t="str">
        <x:v>独处</x:v>
      </x:c>
      <x:c r="D17" s="28" t="str">
        <x:v>秩序</x:v>
      </x:c>
      <x:c r="E17" s="28" t="str">
        <x:v>强烈</x:v>
      </x:c>
      <x:c r="F17" s="28" t="str">
        <x:v>探索</x:v>
      </x:c>
      <x:c r="G17" s="28" t="str">
        <x:v>想象</x:v>
      </x:c>
      <x:c r="H17" s="29" t="str">
        <x:v>独处·秩序·强烈·探索·想象</x:v>
      </x:c>
      <x:c r="I17" s="29" t="str">
        <x:v>《死之岛》</x:v>
      </x:c>
      <x:c r="J17" s="29" t="str">
        <x:v>Arnold Böcklin</x:v>
      </x:c>
      <x:c r="K17" s="29" t="str">
        <x:v>1880</x:v>
      </x:c>
      <x:c r="L17" s="29" t="str">
        <x:v>瑞士 / 象征主义</x:v>
      </x:c>
      <x:c r="M17" s="29" t="str">
        <x:v>孤舟进入封闭岛屿，构图稳定而情绪强烈；未知旅程与死亡象征高度突出</x:v>
      </x:c>
      <x:c r="N17" s="28" t="str">
        <x:v>高</x:v>
      </x:c>
    </x:row>
    <x:row r="18">
      <x:c r="A18" s="32" t="str">
        <x:v>T17</x:v>
      </x:c>
      <x:c r="B18" s="32" t="str">
        <x:v>1-0-0-0-0</x:v>
      </x:c>
      <x:c r="C18" s="32" t="str">
        <x:v>联结</x:v>
      </x:c>
      <x:c r="D18" s="32" t="str">
        <x:v>自发</x:v>
      </x:c>
      <x:c r="E18" s="32" t="str">
        <x:v>克制</x:v>
      </x:c>
      <x:c r="F18" s="32" t="str">
        <x:v>熟悉</x:v>
      </x:c>
      <x:c r="G18" s="32" t="str">
        <x:v>现实</x:v>
      </x:c>
      <x:c r="H18" s="33" t="str">
        <x:v>联结·自发·克制·熟悉·现实</x:v>
      </x:c>
      <x:c r="I18" s="33" t="str">
        <x:v>《划船》</x:v>
      </x:c>
      <x:c r="J18" s="33" t="str">
        <x:v>Édouard Manet</x:v>
      </x:c>
      <x:c r="K18" s="33" t="str">
        <x:v>1874</x:v>
      </x:c>
      <x:c r="L18" s="33" t="str">
        <x:v>法国 / 印象主义语境</x:v>
      </x:c>
      <x:c r="M18" s="33" t="str">
        <x:v>两人共享休闲场景，构图开放、笔触轻松；现实日常而非戏剧化关系</x:v>
      </x:c>
      <x:c r="N18" s="32" t="str">
        <x:v>中高</x:v>
      </x:c>
    </x:row>
    <x:row r="19">
      <x:c r="A19" s="32" t="str">
        <x:v>T18</x:v>
      </x:c>
      <x:c r="B19" s="32" t="str">
        <x:v>1-0-0-0-1</x:v>
      </x:c>
      <x:c r="C19" s="32" t="str">
        <x:v>联结</x:v>
      </x:c>
      <x:c r="D19" s="32" t="str">
        <x:v>自发</x:v>
      </x:c>
      <x:c r="E19" s="32" t="str">
        <x:v>克制</x:v>
      </x:c>
      <x:c r="F19" s="32" t="str">
        <x:v>熟悉</x:v>
      </x:c>
      <x:c r="G19" s="32" t="str">
        <x:v>想象</x:v>
      </x:c>
      <x:c r="H19" s="33" t="str">
        <x:v>联结·自发·克制·熟悉·想象</x:v>
      </x:c>
      <x:c r="I19" s="33" t="str">
        <x:v>《我与村庄》</x:v>
      </x:c>
      <x:c r="J19" s="33" t="str">
        <x:v>Marc Chagall</x:v>
      </x:c>
      <x:c r="K19" s="33" t="str">
        <x:v>1911</x:v>
      </x:c>
      <x:c r="L19" s="33" t="str">
        <x:v>俄法 / 现代主义</x:v>
      </x:c>
      <x:c r="M19" s="33" t="str">
        <x:v>人与动物、村庄记忆形成连接；形式自由而叙事梦幻，情绪相对温和</x:v>
      </x:c>
      <x:c r="N19" s="32" t="str">
        <x:v>中高</x:v>
      </x:c>
    </x:row>
    <x:row r="20">
      <x:c r="A20" s="32" t="str">
        <x:v>T19</x:v>
      </x:c>
      <x:c r="B20" s="32" t="str">
        <x:v>1-0-0-1-0</x:v>
      </x:c>
      <x:c r="C20" s="32" t="str">
        <x:v>联结</x:v>
      </x:c>
      <x:c r="D20" s="32" t="str">
        <x:v>自发</x:v>
      </x:c>
      <x:c r="E20" s="32" t="str">
        <x:v>克制</x:v>
      </x:c>
      <x:c r="F20" s="32" t="str">
        <x:v>探索</x:v>
      </x:c>
      <x:c r="G20" s="32" t="str">
        <x:v>现实</x:v>
      </x:c>
      <x:c r="H20" s="33" t="str">
        <x:v>联结·自发·克制·探索·现实</x:v>
      </x:c>
      <x:c r="I20" s="33" t="str">
        <x:v>《大桥骤雨》</x:v>
      </x:c>
      <x:c r="J20" s="33" t="str">
        <x:v>歌川广重</x:v>
      </x:c>
      <x:c r="K20" s="33" t="str">
        <x:v>1857</x:v>
      </x:c>
      <x:c r="L20" s="33" t="str">
        <x:v>日本 / 浮世绘</x:v>
      </x:c>
      <x:c r="M20" s="33" t="str">
        <x:v>多人共同穿越突发天气，动势自然、日常而现实；表现共享环境中的移动与变化</x:v>
      </x:c>
      <x:c r="N20" s="32" t="str">
        <x:v>高</x:v>
      </x:c>
    </x:row>
    <x:row r="21">
      <x:c r="A21" s="32" t="str">
        <x:v>T20</x:v>
      </x:c>
      <x:c r="B21" s="32" t="str">
        <x:v>1-0-0-1-1</x:v>
      </x:c>
      <x:c r="C21" s="32" t="str">
        <x:v>联结</x:v>
      </x:c>
      <x:c r="D21" s="32" t="str">
        <x:v>自发</x:v>
      </x:c>
      <x:c r="E21" s="32" t="str">
        <x:v>克制</x:v>
      </x:c>
      <x:c r="F21" s="32" t="str">
        <x:v>探索</x:v>
      </x:c>
      <x:c r="G21" s="32" t="str">
        <x:v>想象</x:v>
      </x:c>
      <x:c r="H21" s="33" t="str">
        <x:v>联结·自发·克制·探索·想象</x:v>
      </x:c>
      <x:c r="I21" s="33" t="str">
        <x:v>《舟发西苔岛》</x:v>
      </x:c>
      <x:c r="J21" s="33" t="str">
        <x:v>Jean-Antoine Watteau</x:v>
      </x:c>
      <x:c r="K21" s="33" t="str">
        <x:v>1717</x:v>
      </x:c>
      <x:c r="L21" s="33" t="str">
        <x:v>法国 / 洛可可</x:v>
      </x:c>
      <x:c r="M21" s="33" t="str">
        <x:v>群体结伴进入理想化爱情之岛；氛围轻盈流动，带有旅行和神话想象</x:v>
      </x:c>
      <x:c r="N21" s="32" t="str">
        <x:v>高</x:v>
      </x:c>
    </x:row>
    <x:row r="22">
      <x:c r="A22" s="32" t="str">
        <x:v>T21</x:v>
      </x:c>
      <x:c r="B22" s="32" t="str">
        <x:v>1-0-1-0-0</x:v>
      </x:c>
      <x:c r="C22" s="32" t="str">
        <x:v>联结</x:v>
      </x:c>
      <x:c r="D22" s="32" t="str">
        <x:v>自发</x:v>
      </x:c>
      <x:c r="E22" s="32" t="str">
        <x:v>强烈</x:v>
      </x:c>
      <x:c r="F22" s="32" t="str">
        <x:v>熟悉</x:v>
      </x:c>
      <x:c r="G22" s="32" t="str">
        <x:v>现实</x:v>
      </x:c>
      <x:c r="H22" s="33" t="str">
        <x:v>联结·自发·强烈·熟悉·现实</x:v>
      </x:c>
      <x:c r="I22" s="33" t="str">
        <x:v>《煎饼磨坊的舞会》</x:v>
      </x:c>
      <x:c r="J22" s="33" t="str">
        <x:v>Pierre-Auguste Renoir</x:v>
      </x:c>
      <x:c r="K22" s="33" t="str">
        <x:v>1876</x:v>
      </x:c>
      <x:c r="L22" s="33" t="str">
        <x:v>法国 / 印象派</x:v>
      </x:c>
      <x:c r="M22" s="33" t="str">
        <x:v>人群互动密集、气氛热烈，笔触松动；主题是现实都市社交与日常欢乐</x:v>
      </x:c>
      <x:c r="N22" s="32" t="str">
        <x:v>高</x:v>
      </x:c>
    </x:row>
    <x:row r="23">
      <x:c r="A23" s="32" t="str">
        <x:v>T22</x:v>
      </x:c>
      <x:c r="B23" s="32" t="str">
        <x:v>1-0-1-0-1</x:v>
      </x:c>
      <x:c r="C23" s="32" t="str">
        <x:v>联结</x:v>
      </x:c>
      <x:c r="D23" s="32" t="str">
        <x:v>自发</x:v>
      </x:c>
      <x:c r="E23" s="32" t="str">
        <x:v>强烈</x:v>
      </x:c>
      <x:c r="F23" s="32" t="str">
        <x:v>熟悉</x:v>
      </x:c>
      <x:c r="G23" s="32" t="str">
        <x:v>想象</x:v>
      </x:c>
      <x:c r="H23" s="33" t="str">
        <x:v>联结·自发·强烈·熟悉·想象</x:v>
      </x:c>
      <x:c r="I23" s="33" t="str">
        <x:v>《生日》</x:v>
      </x:c>
      <x:c r="J23" s="33" t="str">
        <x:v>Marc Chagall</x:v>
      </x:c>
      <x:c r="K23" s="33" t="str">
        <x:v>1915</x:v>
      </x:c>
      <x:c r="L23" s="33" t="str">
        <x:v>俄法 / 现代主义</x:v>
      </x:c>
      <x:c r="M23" s="33" t="str">
        <x:v>亲密关系发生在熟悉室内，但人物悬浮使强烈情感转化为幻想表达</x:v>
      </x:c>
      <x:c r="N23" s="32" t="str">
        <x:v>高</x:v>
      </x:c>
    </x:row>
    <x:row r="24">
      <x:c r="A24" s="32" t="str">
        <x:v>T23</x:v>
      </x:c>
      <x:c r="B24" s="32" t="str">
        <x:v>1-0-1-1-0</x:v>
      </x:c>
      <x:c r="C24" s="32" t="str">
        <x:v>联结</x:v>
      </x:c>
      <x:c r="D24" s="32" t="str">
        <x:v>自发</x:v>
      </x:c>
      <x:c r="E24" s="32" t="str">
        <x:v>强烈</x:v>
      </x:c>
      <x:c r="F24" s="32" t="str">
        <x:v>探索</x:v>
      </x:c>
      <x:c r="G24" s="32" t="str">
        <x:v>现实</x:v>
      </x:c>
      <x:c r="H24" s="33" t="str">
        <x:v>联结·自发·强烈·探索·现实</x:v>
      </x:c>
      <x:c r="I24" s="33" t="str">
        <x:v>《神奈川冲浪里》</x:v>
      </x:c>
      <x:c r="J24" s="33" t="str">
        <x:v>葛饰北斋</x:v>
      </x:c>
      <x:c r="K24" s="33" t="str">
        <x:v>约1830–1832</x:v>
      </x:c>
      <x:c r="L24" s="33" t="str">
        <x:v>日本 / 浮世绘</x:v>
      </x:c>
      <x:c r="M24" s="33" t="str">
        <x:v>船员共同面对巨大海浪，行动和风险极强；背景与地理指向现实世界</x:v>
      </x:c>
      <x:c r="N24" s="32" t="str">
        <x:v>高</x:v>
      </x:c>
    </x:row>
    <x:row r="25">
      <x:c r="A25" s="32" t="str">
        <x:v>T24</x:v>
      </x:c>
      <x:c r="B25" s="32" t="str">
        <x:v>1-0-1-1-1</x:v>
      </x:c>
      <x:c r="C25" s="32" t="str">
        <x:v>联结</x:v>
      </x:c>
      <x:c r="D25" s="32" t="str">
        <x:v>自发</x:v>
      </x:c>
      <x:c r="E25" s="32" t="str">
        <x:v>强烈</x:v>
      </x:c>
      <x:c r="F25" s="32" t="str">
        <x:v>探索</x:v>
      </x:c>
      <x:c r="G25" s="32" t="str">
        <x:v>想象</x:v>
      </x:c>
      <x:c r="H25" s="33" t="str">
        <x:v>联结·自发·强烈·探索·想象</x:v>
      </x:c>
      <x:c r="I25" s="33" t="str">
        <x:v>《人间乐园》</x:v>
      </x:c>
      <x:c r="J25" s="33" t="str">
        <x:v>Hieronymus Bosch</x:v>
      </x:c>
      <x:c r="K25" s="33" t="str">
        <x:v>约1490–1510</x:v>
      </x:c>
      <x:c r="L25" s="33" t="str">
        <x:v>尼德兰 / 早期尼德兰绘画</x:v>
      </x:c>
      <x:c r="M25" s="33" t="str">
        <x:v>大量群体、自由繁复场景、强刺激与极端幻想并存，探索性极强</x:v>
      </x:c>
      <x:c r="N25" s="32" t="str">
        <x:v>高</x:v>
      </x:c>
    </x:row>
    <x:row r="26">
      <x:c r="A26" s="32" t="str">
        <x:v>T25</x:v>
      </x:c>
      <x:c r="B26" s="32" t="str">
        <x:v>1-1-0-0-0</x:v>
      </x:c>
      <x:c r="C26" s="32" t="str">
        <x:v>联结</x:v>
      </x:c>
      <x:c r="D26" s="32" t="str">
        <x:v>秩序</x:v>
      </x:c>
      <x:c r="E26" s="32" t="str">
        <x:v>克制</x:v>
      </x:c>
      <x:c r="F26" s="32" t="str">
        <x:v>熟悉</x:v>
      </x:c>
      <x:c r="G26" s="32" t="str">
        <x:v>现实</x:v>
      </x:c>
      <x:c r="H26" s="33" t="str">
        <x:v>联结·秩序·克制·熟悉·现实</x:v>
      </x:c>
      <x:c r="I26" s="33" t="str">
        <x:v>《清明上河图》</x:v>
      </x:c>
      <x:c r="J26" s="33" t="str">
        <x:v>张择端</x:v>
      </x:c>
      <x:c r="K26" s="33" t="str">
        <x:v>12世纪</x:v>
      </x:c>
      <x:c r="L26" s="33" t="str">
        <x:v>中国 / 北宋风俗画</x:v>
      </x:c>
      <x:c r="M26" s="33" t="str">
        <x:v>社会关系密集、城市运行有序，情绪表达节制；以现实日常生活为核心</x:v>
      </x:c>
      <x:c r="N26" s="32" t="str">
        <x:v>高</x:v>
      </x:c>
    </x:row>
    <x:row r="27">
      <x:c r="A27" s="32" t="str">
        <x:v>T26</x:v>
      </x:c>
      <x:c r="B27" s="32" t="str">
        <x:v>1-1-0-0-1</x:v>
      </x:c>
      <x:c r="C27" s="32" t="str">
        <x:v>联结</x:v>
      </x:c>
      <x:c r="D27" s="32" t="str">
        <x:v>秩序</x:v>
      </x:c>
      <x:c r="E27" s="32" t="str">
        <x:v>克制</x:v>
      </x:c>
      <x:c r="F27" s="32" t="str">
        <x:v>熟悉</x:v>
      </x:c>
      <x:c r="G27" s="32" t="str">
        <x:v>想象</x:v>
      </x:c>
      <x:c r="H27" s="33" t="str">
        <x:v>联结·秩序·克制·熟悉·想象</x:v>
      </x:c>
      <x:c r="I27" s="33" t="str">
        <x:v>《大使们》</x:v>
      </x:c>
      <x:c r="J27" s="33" t="str">
        <x:v>Hans Holbein the Younger</x:v>
      </x:c>
      <x:c r="K27" s="33" t="str">
        <x:v>1533</x:v>
      </x:c>
      <x:c r="L27" s="33" t="str">
        <x:v>德意志 / 北方文艺复兴</x:v>
      </x:c>
      <x:c r="M27" s="33" t="str">
        <x:v>双人肖像与物件秩序高度严谨；变形骷髅和象征系统引入隐藏想象层</x:v>
      </x:c>
      <x:c r="N27" s="32" t="str">
        <x:v>高</x:v>
      </x:c>
    </x:row>
    <x:row r="28">
      <x:c r="A28" s="32" t="str">
        <x:v>T27</x:v>
      </x:c>
      <x:c r="B28" s="32" t="str">
        <x:v>1-1-0-1-0</x:v>
      </x:c>
      <x:c r="C28" s="32" t="str">
        <x:v>联结</x:v>
      </x:c>
      <x:c r="D28" s="32" t="str">
        <x:v>秩序</x:v>
      </x:c>
      <x:c r="E28" s="32" t="str">
        <x:v>克制</x:v>
      </x:c>
      <x:c r="F28" s="32" t="str">
        <x:v>探索</x:v>
      </x:c>
      <x:c r="G28" s="32" t="str">
        <x:v>现实</x:v>
      </x:c>
      <x:c r="H28" s="33" t="str">
        <x:v>联结·秩序·克制·探索·现实</x:v>
      </x:c>
      <x:c r="I28" s="33" t="str">
        <x:v>《杜尔普博士的解剖课》</x:v>
      </x:c>
      <x:c r="J28" s="33" t="str">
        <x:v>Rembrandt</x:v>
      </x:c>
      <x:c r="K28" s="33" t="str">
        <x:v>1632</x:v>
      </x:c>
      <x:c r="L28" s="33" t="str">
        <x:v>荷兰 / 巴洛克</x:v>
      </x:c>
      <x:c r="M28" s="33" t="str">
        <x:v>群体围绕科学观察协作，构图明确；探索来自知识与现实身体研究</x:v>
      </x:c>
      <x:c r="N28" s="32" t="str">
        <x:v>高</x:v>
      </x:c>
    </x:row>
    <x:row r="29">
      <x:c r="A29" s="32" t="str">
        <x:v>T28</x:v>
      </x:c>
      <x:c r="B29" s="32" t="str">
        <x:v>1-1-0-1-1</x:v>
      </x:c>
      <x:c r="C29" s="32" t="str">
        <x:v>联结</x:v>
      </x:c>
      <x:c r="D29" s="32" t="str">
        <x:v>秩序</x:v>
      </x:c>
      <x:c r="E29" s="32" t="str">
        <x:v>克制</x:v>
      </x:c>
      <x:c r="F29" s="32" t="str">
        <x:v>探索</x:v>
      </x:c>
      <x:c r="G29" s="32" t="str">
        <x:v>想象</x:v>
      </x:c>
      <x:c r="H29" s="33" t="str">
        <x:v>联结·秩序·克制·探索·想象</x:v>
      </x:c>
      <x:c r="I29" s="33" t="str">
        <x:v>《雅典学院》</x:v>
      </x:c>
      <x:c r="J29" s="33" t="str">
        <x:v>Raphael</x:v>
      </x:c>
      <x:c r="K29" s="33" t="str">
        <x:v>1509–1511</x:v>
      </x:c>
      <x:c r="L29" s="33" t="str">
        <x:v>意大利 / 文艺复兴</x:v>
      </x:c>
      <x:c r="M29" s="33" t="str">
        <x:v>群体、建筑秩序与思想探索高度集中；场景是理想化的知识共同体</x:v>
      </x:c>
      <x:c r="N29" s="32" t="str">
        <x:v>高</x:v>
      </x:c>
    </x:row>
    <x:row r="30">
      <x:c r="A30" s="32" t="str">
        <x:v>T29</x:v>
      </x:c>
      <x:c r="B30" s="32" t="str">
        <x:v>1-1-1-0-0</x:v>
      </x:c>
      <x:c r="C30" s="32" t="str">
        <x:v>联结</x:v>
      </x:c>
      <x:c r="D30" s="32" t="str">
        <x:v>秩序</x:v>
      </x:c>
      <x:c r="E30" s="32" t="str">
        <x:v>强烈</x:v>
      </x:c>
      <x:c r="F30" s="32" t="str">
        <x:v>熟悉</x:v>
      </x:c>
      <x:c r="G30" s="32" t="str">
        <x:v>现实</x:v>
      </x:c>
      <x:c r="H30" s="33" t="str">
        <x:v>联结·秩序·强烈·熟悉·现实</x:v>
      </x:c>
      <x:c r="I30" s="33" t="str">
        <x:v>《夜巡》</x:v>
      </x:c>
      <x:c r="J30" s="33" t="str">
        <x:v>Rembrandt</x:v>
      </x:c>
      <x:c r="K30" s="33" t="str">
        <x:v>1642</x:v>
      </x:c>
      <x:c r="L30" s="33" t="str">
        <x:v>荷兰 / 巴洛克</x:v>
      </x:c>
      <x:c r="M30" s="33" t="str">
        <x:v>群体组织明确、光线和动作强烈；仍建立在现实市民卫队题材上</x:v>
      </x:c>
      <x:c r="N30" s="32" t="str">
        <x:v>高</x:v>
      </x:c>
    </x:row>
    <x:row r="31">
      <x:c r="A31" s="32" t="str">
        <x:v>T30</x:v>
      </x:c>
      <x:c r="B31" s="32" t="str">
        <x:v>1-1-1-0-1</x:v>
      </x:c>
      <x:c r="C31" s="32" t="str">
        <x:v>联结</x:v>
      </x:c>
      <x:c r="D31" s="32" t="str">
        <x:v>秩序</x:v>
      </x:c>
      <x:c r="E31" s="32" t="str">
        <x:v>强烈</x:v>
      </x:c>
      <x:c r="F31" s="32" t="str">
        <x:v>熟悉</x:v>
      </x:c>
      <x:c r="G31" s="32" t="str">
        <x:v>想象</x:v>
      </x:c>
      <x:c r="H31" s="33" t="str">
        <x:v>联结·秩序·强烈·熟悉·想象</x:v>
      </x:c>
      <x:c r="I31" s="33" t="str">
        <x:v>《吻》</x:v>
      </x:c>
      <x:c r="J31" s="33" t="str">
        <x:v>Gustav Klimt</x:v>
      </x:c>
      <x:c r="K31" s="33" t="str">
        <x:v>1907–1908</x:v>
      </x:c>
      <x:c r="L31" s="33" t="str">
        <x:v>奥地利 / 维也纳分离派</x:v>
      </x:c>
      <x:c r="M31" s="33" t="str">
        <x:v>亲密关系强烈，装饰几何高度组织；现实拥抱被转化为象征与金色梦境</x:v>
      </x:c>
      <x:c r="N31" s="32" t="str">
        <x:v>高</x:v>
      </x:c>
    </x:row>
    <x:row r="32">
      <x:c r="A32" s="32" t="str">
        <x:v>T31</x:v>
      </x:c>
      <x:c r="B32" s="32" t="str">
        <x:v>1-1-1-1-0</x:v>
      </x:c>
      <x:c r="C32" s="32" t="str">
        <x:v>联结</x:v>
      </x:c>
      <x:c r="D32" s="32" t="str">
        <x:v>秩序</x:v>
      </x:c>
      <x:c r="E32" s="32" t="str">
        <x:v>强烈</x:v>
      </x:c>
      <x:c r="F32" s="32" t="str">
        <x:v>探索</x:v>
      </x:c>
      <x:c r="G32" s="32" t="str">
        <x:v>现实</x:v>
      </x:c>
      <x:c r="H32" s="33" t="str">
        <x:v>联结·秩序·强烈·探索·现实</x:v>
      </x:c>
      <x:c r="I32" s="33" t="str">
        <x:v>《梅杜萨之筏》</x:v>
      </x:c>
      <x:c r="J32" s="33" t="str">
        <x:v>Théodore Géricault</x:v>
      </x:c>
      <x:c r="K32" s="33" t="str">
        <x:v>1818–1819</x:v>
      </x:c>
      <x:c r="L32" s="33" t="str">
        <x:v>法国 / 浪漫主义</x:v>
      </x:c>
      <x:c r="M32" s="33" t="str">
        <x:v>群体在灾难中协同求生，构图严整、情绪极强；基于现实事件与极端处境</x:v>
      </x:c>
      <x:c r="N32" s="32" t="str">
        <x:v>高</x:v>
      </x:c>
    </x:row>
    <x:row r="33">
      <x:c r="A33" s="32" t="str">
        <x:v>T32</x:v>
      </x:c>
      <x:c r="B33" s="32" t="str">
        <x:v>1-1-1-1-1</x:v>
      </x:c>
      <x:c r="C33" s="32" t="str">
        <x:v>联结</x:v>
      </x:c>
      <x:c r="D33" s="32" t="str">
        <x:v>秩序</x:v>
      </x:c>
      <x:c r="E33" s="32" t="str">
        <x:v>强烈</x:v>
      </x:c>
      <x:c r="F33" s="32" t="str">
        <x:v>探索</x:v>
      </x:c>
      <x:c r="G33" s="32" t="str">
        <x:v>想象</x:v>
      </x:c>
      <x:c r="H33" s="33" t="str">
        <x:v>联结·秩序·强烈·探索·想象</x:v>
      </x:c>
      <x:c r="I33" s="33" t="str">
        <x:v>《最后的审判》</x:v>
      </x:c>
      <x:c r="J33" s="33" t="str">
        <x:v>Michelangelo</x:v>
      </x:c>
      <x:c r="K33" s="33" t="str">
        <x:v>1536–1541</x:v>
      </x:c>
      <x:c r="L33" s="33" t="str">
        <x:v>意大利 / 文艺复兴</x:v>
      </x:c>
      <x:c r="M33" s="33" t="str">
        <x:v>大量人物被组织进宏大整体，情绪与运动极强；主题指向超越现实的终极想象</x:v>
      </x:c>
      <x:c r="N33" s="32" t="str">
        <x:v>高</x:v>
      </x:c>
    </x:row>
  </x:sheetData>
  <x:pageMargins left="0.7" right="0.7" top="0.75" bottom="0.75" header="0.3" footer="0.3"/>
  <x:tableParts count="1">
    <x:tablePart xmlns:r="http://schemas.openxmlformats.org/officeDocument/2006/relationships" r:id="R2e1662677d3543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40" hidden="0" customWidth="1"/>
    <x:col min="5" max="5" width="58" hidden="0" customWidth="1"/>
  </x:cols>
  <x:sheetData>
    <x:row r="1">
      <x:c r="A1" s="10" t="str">
        <x:v>维度</x:v>
      </x:c>
      <x:c r="B1" s="10" t="str">
        <x:v>0端</x:v>
      </x:c>
      <x:c r="C1" s="10" t="str">
        <x:v>1端</x:v>
      </x:c>
      <x:c r="D1" s="10" t="str">
        <x:v>用户层含义</x:v>
      </x:c>
      <x:c r="E1" s="10" t="str">
        <x:v>画作层判断标准</x:v>
      </x:c>
    </x:row>
    <x:row r="2">
      <x:c r="A2" s="18" t="str">
        <x:v>D1 联结倾向</x:v>
      </x:c>
      <x:c r="B2" s="18" t="str">
        <x:v>独处</x:v>
      </x:c>
      <x:c r="C2" s="18" t="str">
        <x:v>联结</x:v>
      </x:c>
      <x:c r="D2" s="11" t="str">
        <x:v>更偏向独立空间，还是人与人的共享与连接</x:v>
      </x:c>
      <x:c r="E2" s="11" t="str">
        <x:v>人物/关系是否构成画面核心；孤景与独立主体偏0，群体/亲密/共同体偏1</x:v>
      </x:c>
    </x:row>
    <x:row r="3">
      <x:c r="A3" s="18" t="str">
        <x:v>D2 结构偏好</x:v>
      </x:c>
      <x:c r="B3" s="18" t="str">
        <x:v>自发</x:v>
      </x:c>
      <x:c r="C3" s="18" t="str">
        <x:v>秩序</x:v>
      </x:c>
      <x:c r="D3" s="11" t="str">
        <x:v>更接受开放、即兴与松动，还是偏好规则、计划与明确结构</x:v>
      </x:c>
      <x:c r="E3" s="11" t="str">
        <x:v>构图、空间、形式是否强调自由流动/不确定，还是几何、平衡、组织与控制</x:v>
      </x:c>
    </x:row>
    <x:row r="4">
      <x:c r="A4" s="18" t="str">
        <x:v>D3 情感强度</x:v>
      </x:c>
      <x:c r="B4" s="18" t="str">
        <x:v>克制</x:v>
      </x:c>
      <x:c r="C4" s="18" t="str">
        <x:v>强烈</x:v>
      </x:c>
      <x:c r="D4" s="11" t="str">
        <x:v>情绪体验与表达更收敛，还是更浓烈直接</x:v>
      </x:c>
      <x:c r="E4" s="11" t="str">
        <x:v>色彩、动作、戏剧性、心理张力和视觉刺激的总体强度</x:v>
      </x:c>
    </x:row>
    <x:row r="5">
      <x:c r="A5" s="18" t="str">
        <x:v>D4 探索倾向</x:v>
      </x:c>
      <x:c r="B5" s="18" t="str">
        <x:v>熟悉</x:v>
      </x:c>
      <x:c r="C5" s="18" t="str">
        <x:v>探索</x:v>
      </x:c>
      <x:c r="D5" s="11" t="str">
        <x:v>更偏好稳定熟悉，还是变化、未知、行动和新体验</x:v>
      </x:c>
      <x:c r="E5" s="11" t="str">
        <x:v>画面是否指向日常安定、既有环境，或旅途、风险、未知、知识探索与变化</x:v>
      </x:c>
    </x:row>
    <x:row r="6">
      <x:c r="A6" s="18" t="str">
        <x:v>D5 想象倾向</x:v>
      </x:c>
      <x:c r="B6" s="18" t="str">
        <x:v>现实</x:v>
      </x:c>
      <x:c r="C6" s="18" t="str">
        <x:v>想象</x:v>
      </x:c>
      <x:c r="D6" s="11" t="str">
        <x:v>更偏向具体真实，还是象征、幻想、抽象和超现实</x:v>
      </x:c>
      <x:c r="E6" s="11" t="str">
        <x:v>图像是否主要基于可观察现实，或明显依赖象征、变形、理想化、梦境与抽象</x:v>
      </x:c>
    </x:row>
  </x:sheetData>
  <x:pageMargins left="0.7" right="0.7" top="0.75" bottom="0.75" header="0.3" footer="0.3"/>
  <x:tableParts count="1">
    <x:tablePart xmlns:r="http://schemas.openxmlformats.org/officeDocument/2006/relationships" r:id="Rba061bd7f20647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34" hidden="0" customWidth="1"/>
    <x:col min="5" max="5" width="50" hidden="0" customWidth="1"/>
  </x:cols>
  <x:sheetData>
    <x:row r="1">
      <x:c r="A1" s="10" t="str">
        <x:v>类型ID</x:v>
      </x:c>
      <x:c r="B1" s="10" t="str">
        <x:v>当前锚点</x:v>
      </x:c>
      <x:c r="C1" s="10" t="str">
        <x:v>备选作品1</x:v>
      </x:c>
      <x:c r="D1" s="10" t="str">
        <x:v>备选作品2</x:v>
      </x:c>
      <x:c r="E1" s="10" t="str">
        <x:v>为什么需要复核</x:v>
      </x:c>
    </x:row>
    <x:row r="2">
      <x:c r="A2" s="18" t="str">
        <x:v>T03</x:v>
      </x:c>
      <x:c r="B2" s="11" t="str">
        <x:v>《雾警》</x:v>
      </x:c>
      <x:c r="C2" s="11" t="str">
        <x:v>《通往凡尔赛的道路，卢弗西恩》— Camille Pissarro</x:v>
      </x:c>
      <x:c r="D2" s="11" t="str">
        <x:v>《海上渔夫》— J. M. W. Turner</x:v>
      </x:c>
      <x:c r="E2" s="11" t="str">
        <x:v>“自发/秩序”边界最容易发生争议</x:v>
      </x:c>
    </x:row>
    <x:row r="3">
      <x:c r="A3" s="18" t="str">
        <x:v>T04</x:v>
      </x:c>
      <x:c r="B3" s="11" t="str">
        <x:v>《富春山居图》</x:v>
      </x:c>
      <x:c r="C3" s="11" t="str">
        <x:v>《容膝斋图》— 倪瓒</x:v>
      </x:c>
      <x:c r="D3" s="11" t="str">
        <x:v>《松林图屏风》— 长谷川等伯</x:v>
      </x:c>
      <x:c r="E3" s="11" t="str">
        <x:v>中国山水中的“现实/想象”不宜直接套西方再现标准</x:v>
      </x:c>
    </x:row>
    <x:row r="4">
      <x:c r="A4" s="18" t="str">
        <x:v>T08</x:v>
      </x:c>
      <x:c r="B4" s="11" t="str">
        <x:v>《冰海》</x:v>
      </x:c>
      <x:c r="C4" s="11" t="str">
        <x:v>《暴风雪：汉尼拔和他的军队越过阿尔卑斯山》— Turner</x:v>
      </x:c>
      <x:c r="D4" s="11" t="str">
        <x:v>《独眼巨人》— Odilon Redon</x:v>
      </x:c>
      <x:c r="E4" s="11" t="str">
        <x:v>当前锚点的“自发”和“想象”均较强，但结构仍有组织</x:v>
      </x:c>
    </x:row>
    <x:row r="5">
      <x:c r="A5" s="18" t="str">
        <x:v>T17</x:v>
      </x:c>
      <x:c r="B5" s="11" t="str">
        <x:v>《划船》</x:v>
      </x:c>
      <x:c r="C5" s="11" t="str">
        <x:v>《船上午宴》— Pierre-Auguste Renoir</x:v>
      </x:c>
      <x:c r="D5" s="11" t="str">
        <x:v>《游船》— Mary Cassatt</x:v>
      </x:c>
      <x:c r="E5" s="11" t="str">
        <x:v>“联结”足够，但是否足够克制需要后续评分验证</x:v>
      </x:c>
    </x:row>
    <x:row r="6">
      <x:c r="A6" s="18" t="str">
        <x:v>T18</x:v>
      </x:c>
      <x:c r="B6" s="11" t="str">
        <x:v>《我与村庄》</x:v>
      </x:c>
      <x:c r="C6" s="11" t="str">
        <x:v>《散步》— Marc Chagall</x:v>
      </x:c>
      <x:c r="D6" s="11" t="str">
        <x:v>《梦》— Henri Rousseau</x:v>
      </x:c>
      <x:c r="E6" s="11" t="str">
        <x:v>“联结”不是传统人物互动，而是人与记忆/动物/村庄的关系</x:v>
      </x:c>
    </x:row>
    <x:row r="7">
      <x:c r="A7" s="18" t="str">
        <x:v>T20</x:v>
      </x:c>
      <x:c r="B7" s="11" t="str">
        <x:v>《舟发西苔岛》</x:v>
      </x:c>
      <x:c r="C7" s="11" t="str">
        <x:v>《维纳斯的诞生》— Botticelli</x:v>
      </x:c>
      <x:c r="D7" s="11" t="str">
        <x:v>《田园合奏》— Giorgione/Titian circle</x:v>
      </x:c>
      <x:c r="E7" s="11" t="str">
        <x:v>浪漫情绪可能使其D3落到中高，需要连续评分校正</x:v>
      </x:c>
    </x:row>
    <x:row r="8">
      <x:c r="A8" s="18" t="str">
        <x:v>T23</x:v>
      </x:c>
      <x:c r="B8" s="11" t="str">
        <x:v>《神奈川冲浪里》</x:v>
      </x:c>
      <x:c r="C8" s="11" t="str">
        <x:v>《海上渔夫》— J. M. W. Turner</x:v>
      </x:c>
      <x:c r="D8" s="11" t="str">
        <x:v>《埃普瑟姆赛马》— Théodore Géricault</x:v>
      </x:c>
      <x:c r="E8" s="11" t="str">
        <x:v>画面高度象征化，但核心事件仍可归入现实风险</x:v>
      </x:c>
    </x:row>
    <x:row r="9">
      <x:c r="A9" s="18" t="str">
        <x:v>T26</x:v>
      </x:c>
      <x:c r="B9" s="11" t="str">
        <x:v>《大使们》</x:v>
      </x:c>
      <x:c r="C9" s="11" t="str">
        <x:v>《宫娥》— Diego Velázquez</x:v>
      </x:c>
      <x:c r="D9" s="11" t="str">
        <x:v>《阿尔诺芬尼夫妇像》— Jan van Eyck</x:v>
      </x:c>
      <x:c r="E9" s="11" t="str">
        <x:v>想象主要来自象征/观看机制，而非幻想场景</x:v>
      </x:c>
    </x:row>
  </x:sheetData>
  <x:pageMargins left="0.7" right="0.7" top="0.75" bottom="0.75" header="0.3" footer="0.3"/>
  <x:tableParts count="1">
    <x:tablePart xmlns:r="http://schemas.openxmlformats.org/officeDocument/2006/relationships" r:id="R9de4c9aaca0d44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0" t="str">
        <x:v>项目</x:v>
      </x:c>
      <x:c r="B1" s="10" t="str">
        <x:v>内容</x:v>
      </x:c>
    </x:row>
    <x:row r="2">
      <x:c r="A2" s="23" t="str">
        <x:v>核心方法</x:v>
      </x:c>
      <x:c r="B2" s="11" t="str">
        <x:v>先固定5个二元维度，得到2^5=32个视觉人格原型；每个原型先配置1幅锚点作品，再做连续0–100评分。</x:v>
      </x:c>
    </x:row>
    <x:row r="3">
      <x:c r="A3" s="23" t="str">
        <x:v>为什么这样改</x:v>
      </x:c>
      <x:c r="B3" s="11" t="str">
        <x:v>避免先选画再归类造成画库扎堆；32格天然保证离散组合覆盖完整。</x:v>
      </x:c>
    </x:row>
    <x:row r="4">
      <x:c r="A4" s="23" t="str">
        <x:v>当前阶段</x:v>
      </x:c>
      <x:c r="B4" s="11" t="str">
        <x:v>V0.5 只解决“覆盖”和“锚点作品”问题，不把二元类型当成最终算法。</x:v>
      </x:c>
    </x:row>
    <x:row r="5">
      <x:c r="A5" s="23" t="str">
        <x:v>后续算法</x:v>
      </x:c>
      <x:c r="B5" s="11" t="str">
        <x:v>用户仍输出5维连续分数；32类型只用于组织画库与确保覆盖。最终匹配建议基于连续距离，而非强制把用户分箱。</x:v>
      </x:c>
    </x:row>
    <x:row r="6">
      <x:c r="A6" s="23" t="str">
        <x:v>作品数量</x:v>
      </x:c>
      <x:c r="B6" s="11" t="str">
        <x:v>第一层32幅锚点作品。验证后可给边界类型增加第二候选，最终图库预计40–48幅。</x:v>
      </x:c>
    </x:row>
    <x:row r="7">
      <x:c r="A7" s="23" t="str">
        <x:v>重要限制</x:v>
      </x:c>
      <x:c r="B7" s="11" t="str">
        <x:v>艺术作品与人格维度的映射属于解释性设计，不是经心理测量验证的事实。后续应通过多名艺术/心理标注者与用户反馈校准。</x:v>
      </x:c>
    </x:row>
    <x:row r="8">
      <x:c r="A8" s="23" t="str">
        <x:v>下一步1</x:v>
      </x:c>
      <x:c r="B8" s="11" t="str">
        <x:v>对32幅锚点按5维进行0–100连续评分。</x:v>
      </x:c>
    </x:row>
    <x:row r="9">
      <x:c r="A9" s="23" t="str">
        <x:v>下一步2</x:v>
      </x:c>
      <x:c r="B9" s="11" t="str">
        <x:v>检查相邻类型锚点是否在连续空间中仍能分开；不能分开的类型换画。</x:v>
      </x:c>
    </x:row>
    <x:row r="10">
      <x:c r="A10" s="23" t="str">
        <x:v>下一步3</x:v>
      </x:c>
      <x:c r="B10" s="11" t="str">
        <x:v>再设计25题，每维5题，先验证题目区分度，再接画作匹配。</x:v>
      </x:c>
    </x:row>
  </x:sheetData>
  <x:pageMargins left="0.7" right="0.7" top="0.75" bottom="0.75" header="0.3" footer="0.3"/>
  <x:tableParts count="1">
    <x:tablePart xmlns:r="http://schemas.openxmlformats.org/officeDocument/2006/relationships" r:id="R15fff85eb9064b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24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0" hidden="0" customWidth="1"/>
    <x:col min="12" max="12" width="42" hidden="0" customWidth="1"/>
    <x:col min="13" max="13" width="58" hidden="0" customWidth="1"/>
    <x:col min="14" max="14" width="58" hidden="0" customWidth="1"/>
    <x:col min="15" max="15" width="12" hidden="0" customWidth="1"/>
    <x:col min="16" max="16" width="14" hidden="0" customWidth="1"/>
    <x:col min="17" max="17" width="22" hidden="0" customWidth="1"/>
  </x:cols>
  <x:sheetData>
    <x:row r="1">
      <x:c r="A1" s="43" t="str">
        <x:v>类型ID</x:v>
      </x:c>
      <x:c r="B1" s="43" t="str">
        <x:v>编码(C-S-A-E-I)</x:v>
      </x:c>
      <x:c r="C1" s="43" t="str">
        <x:v>锚点作品</x:v>
      </x:c>
      <x:c r="D1" s="43" t="str">
        <x:v>作者</x:v>
      </x:c>
      <x:c r="E1" s="43" t="str">
        <x:v>人生原型名</x:v>
      </x:c>
      <x:c r="F1" s="43" t="str">
        <x:v>Connection</x:v>
      </x:c>
      <x:c r="G1" s="43" t="str">
        <x:v>Structure</x:v>
      </x:c>
      <x:c r="H1" s="43" t="str">
        <x:v>Affect</x:v>
      </x:c>
      <x:c r="I1" s="43" t="str">
        <x:v>Exploration</x:v>
      </x:c>
      <x:c r="J1" s="43" t="str">
        <x:v>Imagination</x:v>
      </x:c>
      <x:c r="K1" s="43" t="str">
        <x:v>关键词</x:v>
      </x:c>
      <x:c r="L1" s="43" t="str">
        <x:v>Hit Line</x:v>
      </x:c>
      <x:c r="M1" s="43" t="str">
        <x:v>Life Narrative</x:v>
      </x:c>
      <x:c r="N1" s="43" t="str">
        <x:v>Why This Artwork</x:v>
      </x:c>
      <x:c r="O1" s="43" t="str">
        <x:v>类型一致性</x:v>
      </x:c>
      <x:c r="P1" s="43" t="str">
        <x:v>审核状态</x:v>
      </x:c>
      <x:c r="Q1" s="43" t="str">
        <x:v>备注</x:v>
      </x:c>
    </x:row>
    <x:row r="2">
      <x:c r="A2" s="44" t="str">
        <x:v>T01</x:v>
      </x:c>
      <x:c r="B2" s="44" t="str">
        <x:v>0-0-0-0-0</x:v>
      </x:c>
      <x:c r="C2" s="44" t="str">
        <x:v>《喜鹊》</x:v>
      </x:c>
      <x:c r="D2" s="44" t="str">
        <x:v>Claude Monet</x:v>
      </x:c>
      <x:c r="E2" s="44" t="str">
        <x:v>安静的生活者</x:v>
      </x:c>
      <x:c r="F2" s="44" t="n">
        <x:v>20</x:v>
      </x:c>
      <x:c r="G2" s="44" t="n">
        <x:v>35</x:v>
      </x:c>
      <x:c r="H2" s="44" t="n">
        <x:v>25</x:v>
      </x:c>
      <x:c r="I2" s="44" t="n">
        <x:v>30</x:v>
      </x:c>
      <x:c r="J2" s="44" t="n">
        <x:v>25</x:v>
      </x:c>
      <x:c r="K2" s="44" t="str">
        <x:v>独处 / 松弛 / 日常 / 真实 / 克制</x:v>
      </x:c>
      <x:c r="L2" s="44" t="str">
        <x:v>你喜欢把日子过得松弛而清楚，安静本身就足够丰盛。</x:v>
      </x:c>
      <x:c r="M2" s="44" t="str">
        <x:v>你更喜欢把生活留出一点没有安排的空间。你不依赖热闹来确认自己的状态，也不急着把普通日子变成戏剧。熟悉的环境、真实的细节和偶然出现的小变化，往往比宏大的想象更能让你感到踏实。</x:v>
      </x:c>
      <x:c r="N2" s="44" t="str">
        <x:v>《喜鹊》没有宏大叙事，雪地、栅栏与一只鸟构成松弛而安静的日常。低饱和色调和开放空间，对应独处、克制、熟悉与现实取向。</x:v>
      </x:c>
      <x:c r="O2" s="44" t="str">
        <x:f>IF(AND(IF(LEFT(B2,1)="1",F2&gt;=50,F2&lt;50),IF(MID(B2,3,1)="1",G2&gt;=50,G2&lt;50),IF(MID(B2,5,1)="1",H2&gt;=50,H2&lt;50),IF(MID(B2,7,1)="1",I2&gt;=50,I2&lt;50),IF(RIGHT(B2,1)="1",J2&gt;=50,J2&lt;50)),"通过","检查")</x:f>
        <x:v>通过</x:v>
      </x:c>
      <x:c r="P2" s="44" t="str">
        <x:v>待人工复核</x:v>
      </x:c>
      <x:c r="Q2" s="44"/>
    </x:row>
    <x:row r="3">
      <x:c r="A3" s="44" t="str">
        <x:v>T02</x:v>
      </x:c>
      <x:c r="B3" s="44" t="str">
        <x:v>0-0-0-0-1</x:v>
      </x:c>
      <x:c r="C3" s="44" t="str">
        <x:v>《蓝与金的夜曲：老巴特西桥》</x:v>
      </x:c>
      <x:c r="D3" s="44" t="str">
        <x:v>James McNeill Whistler</x:v>
      </x:c>
      <x:c r="E3" s="44" t="str">
        <x:v>静默的遐想者</x:v>
      </x:c>
      <x:c r="F3" s="44" t="n">
        <x:v>20</x:v>
      </x:c>
      <x:c r="G3" s="44" t="n">
        <x:v>35</x:v>
      </x:c>
      <x:c r="H3" s="44" t="n">
        <x:v>30</x:v>
      </x:c>
      <x:c r="I3" s="44" t="n">
        <x:v>30</x:v>
      </x:c>
      <x:c r="J3" s="44" t="n">
        <x:v>70</x:v>
      </x:c>
      <x:c r="K3" s="44" t="str">
        <x:v>独处 / 留白 / 夜色 / 熟悉 / 想象</x:v>
      </x:c>
      <x:c r="L3" s="44" t="str">
        <x:v>你习惯把日常留出一点空白，让想象在安静里慢慢亮起来。</x:v>
      </x:c>
      <x:c r="M3" s="44" t="str">
        <x:v>你并不需要频繁离开熟悉生活，想象却会在安静中自然发生。你更习惯独自消化感受，让普通景物在心里多停留一会儿，再慢慢长出另一层意义。你的想象不是喧闹的，而是轻、远、留有余地。</x:v>
      </x:c>
      <x:c r="N3" s="44" t="str">
        <x:v>惠斯勒把熟悉的泰晤士河夜景削弱为色调、雾与微光。画面安静、松弛，却把现实推向诗意联想，适合低情感强度而高想象的类型。</x:v>
      </x:c>
      <x:c r="O3" s="44" t="str">
        <x:f>IF(AND(IF(LEFT(B3,1)="1",F3&gt;=50,F3&lt;50),IF(MID(B3,3,1)="1",G3&gt;=50,G3&lt;50),IF(MID(B3,5,1)="1",H3&gt;=50,H3&lt;50),IF(MID(B3,7,1)="1",I3&gt;=50,I3&lt;50),IF(RIGHT(B3,1)="1",J3&gt;=50,J3&lt;50)),"通过","检查")</x:f>
        <x:v>通过</x:v>
      </x:c>
      <x:c r="P3" s="44" t="str">
        <x:v>待人工复核</x:v>
      </x:c>
      <x:c r="Q3" s="44"/>
    </x:row>
    <x:row r="4">
      <x:c r="A4" s="44" t="str">
        <x:v>T03</x:v>
      </x:c>
      <x:c r="B4" s="44" t="str">
        <x:v>0-0-0-1-0</x:v>
      </x:c>
      <x:c r="C4" s="44" t="str">
        <x:v>《雾警》</x:v>
      </x:c>
      <x:c r="D4" s="44" t="str">
        <x:v>Winslow Homer</x:v>
      </x:c>
      <x:c r="E4" s="44" t="str">
        <x:v>清醒的远行者</x:v>
      </x:c>
      <x:c r="F4" s="44" t="n">
        <x:v>15</x:v>
      </x:c>
      <x:c r="G4" s="44" t="n">
        <x:v>30</x:v>
      </x:c>
      <x:c r="H4" s="44" t="n">
        <x:v>35</x:v>
      </x:c>
      <x:c r="I4" s="44" t="n">
        <x:v>80</x:v>
      </x:c>
      <x:c r="J4" s="44" t="n">
        <x:v>25</x:v>
      </x:c>
      <x:c r="K4" s="44" t="str">
        <x:v>独行 / 真实 / 风险 / 探索 / 克制</x:v>
      </x:c>
      <x:c r="L4" s="44" t="str">
        <x:v>你不需要喧闹的鼓励，也愿意独自驶向还看不清的方向。</x:v>
      </x:c>
      <x:c r="M4" s="44" t="str">
        <x:v>你愿意独自面对真实世界的不确定性。你不会为了冒险而制造戏剧，也不需要把每一步计划得很满；当方向还不完全清楚时，你更愿意先观察、判断，再靠自己的经验继续前进。</x:v>
      </x:c>
      <x:c r="N4" s="44" t="str">
        <x:v>《雾警》把孤舟、海面与逼近的雾放在真实风险中。人物独自行动、环境高度不确定，但画面仍克制务实，对应独处、探索和现实取向。</x:v>
      </x:c>
      <x:c r="O4" s="44" t="str">
        <x:f>IF(AND(IF(LEFT(B4,1)="1",F4&gt;=50,F4&lt;50),IF(MID(B4,3,1)="1",G4&gt;=50,G4&lt;50),IF(MID(B4,5,1)="1",H4&gt;=50,H4&lt;50),IF(MID(B4,7,1)="1",I4&gt;=50,I4&lt;50),IF(RIGHT(B4,1)="1",J4&gt;=50,J4&lt;50)),"通过","检查")</x:f>
        <x:v>通过</x:v>
      </x:c>
      <x:c r="P4" s="44" t="str">
        <x:v>待人工复核</x:v>
      </x:c>
      <x:c r="Q4" s="44"/>
    </x:row>
    <x:row r="5">
      <x:c r="A5" s="44" t="str">
        <x:v>T04</x:v>
      </x:c>
      <x:c r="B5" s="44" t="str">
        <x:v>0-0-0-1-1</x:v>
      </x:c>
      <x:c r="C5" s="44" t="str">
        <x:v>《富春山居图》</x:v>
      </x:c>
      <x:c r="D5" s="44" t="str">
        <x:v>黄公望</x:v>
      </x:c>
      <x:c r="E5" s="44" t="str">
        <x:v>山水间的游心者</x:v>
      </x:c>
      <x:c r="F5" s="44" t="n">
        <x:v>20</x:v>
      </x:c>
      <x:c r="G5" s="44" t="n">
        <x:v>40</x:v>
      </x:c>
      <x:c r="H5" s="44" t="n">
        <x:v>30</x:v>
      </x:c>
      <x:c r="I5" s="44" t="n">
        <x:v>70</x:v>
      </x:c>
      <x:c r="J5" s="44" t="n">
        <x:v>65</x:v>
      </x:c>
      <x:c r="K5" s="44" t="str">
        <x:v>独处 / 游历 / 从容 / 山水 / 想象</x:v>
      </x:c>
      <x:c r="L5" s="44" t="str">
        <x:v>你喜欢自由地走远，也懂得把远方安放在自己的内心里。</x:v>
      </x:c>
      <x:c r="M5" s="44" t="str">
        <x:v>你喜欢远方，却不一定追求速度。对你来说，探索可以是一种缓慢展开的过程：走进新的地方，也让思绪跟着地形、天气和距离自由延伸。你更愿意独自保留这种体验，不急着给它一个确定答案。</x:v>
      </x:c>
      <x:c r="N5" s="44" t="str">
        <x:v>《富春山居图》以长卷让山水缓慢展开，空间不像单一点透视，更像一段可以游走的经验。它克制、独立、开放，也给观看者很大的想象余地。</x:v>
      </x:c>
      <x:c r="O5" s="44" t="str">
        <x:f>IF(AND(IF(LEFT(B5,1)="1",F5&gt;=50,F5&lt;50),IF(MID(B5,3,1)="1",G5&gt;=50,G5&lt;50),IF(MID(B5,5,1)="1",H5&gt;=50,H5&lt;50),IF(MID(B5,7,1)="1",I5&gt;=50,I5&lt;50),IF(RIGHT(B5,1)="1",J5&gt;=50,J5&lt;50)),"通过","检查")</x:f>
        <x:v>通过</x:v>
      </x:c>
      <x:c r="P5" s="44" t="str">
        <x:v>待人工复核</x:v>
      </x:c>
      <x:c r="Q5" s="44"/>
    </x:row>
    <x:row r="6">
      <x:c r="A6" s="44" t="str">
        <x:v>T05</x:v>
      </x:c>
      <x:c r="B6" s="44" t="str">
        <x:v>0-0-1-0-0</x:v>
      </x:c>
      <x:c r="C6" s="44" t="str">
        <x:v>《麦田群鸦》</x:v>
      </x:c>
      <x:c r="D6" s="44" t="str">
        <x:v>Vincent van Gogh</x:v>
      </x:c>
      <x:c r="E6" s="44" t="str">
        <x:v>敏感的守望者</x:v>
      </x:c>
      <x:c r="F6" s="44" t="n">
        <x:v>15</x:v>
      </x:c>
      <x:c r="G6" s="44" t="n">
        <x:v>30</x:v>
      </x:c>
      <x:c r="H6" s="44" t="n">
        <x:v>85</x:v>
      </x:c>
      <x:c r="I6" s="44" t="n">
        <x:v>35</x:v>
      </x:c>
      <x:c r="J6" s="44" t="n">
        <x:v>40</x:v>
      </x:c>
      <x:c r="K6" s="44" t="str">
        <x:v>独处 / 强烈 / 乡野 / 真实 / 敏感</x:v>
      </x:c>
      <x:c r="L6" s="44" t="str">
        <x:v>你感受得很深，却更愿意独自穿过熟悉世界里的风声。</x:v>
      </x:c>
      <x:c r="M6" s="44" t="str">
        <x:v>你对熟悉环境中的变化非常敏感。很多人眼里只是普通的一天，你却可能感受到更强的风、光线、气氛和情绪。你通常自己承受这种强度，不一定马上寻找解释，也不需要把它包装成另一个世界。</x:v>
      </x:c>
      <x:c r="N6" s="44" t="str">
        <x:v>梵高把熟悉麦田画成高度紧张的色彩和笔触。题材仍来自现实乡野，但画面情绪强、结构自由，适合独处且感受强烈的类型。</x:v>
      </x:c>
      <x:c r="O6" s="44" t="str">
        <x:f>IF(AND(IF(LEFT(B6,1)="1",F6&gt;=50,F6&lt;50),IF(MID(B6,3,1)="1",G6&gt;=50,G6&lt;50),IF(MID(B6,5,1)="1",H6&gt;=50,H6&lt;50),IF(MID(B6,7,1)="1",I6&gt;=50,I6&lt;50),IF(RIGHT(B6,1)="1",J6&gt;=50,J6&lt;50)),"通过","检查")</x:f>
        <x:v>通过</x:v>
      </x:c>
      <x:c r="P6" s="44" t="str">
        <x:v>待人工复核</x:v>
      </x:c>
      <x:c r="Q6" s="44"/>
    </x:row>
    <x:row r="7">
      <x:c r="A7" s="44" t="str">
        <x:v>T06</x:v>
      </x:c>
      <x:c r="B7" s="44" t="str">
        <x:v>0-0-1-0-1</x:v>
      </x:c>
      <x:c r="C7" s="44" t="str">
        <x:v>《星月夜》</x:v>
      </x:c>
      <x:c r="D7" s="44" t="str">
        <x:v>Vincent van Gogh</x:v>
      </x:c>
      <x:c r="E7" s="44" t="str">
        <x:v>夜空里的感受者</x:v>
      </x:c>
      <x:c r="F7" s="44" t="n">
        <x:v>15</x:v>
      </x:c>
      <x:c r="G7" s="44" t="n">
        <x:v>30</x:v>
      </x:c>
      <x:c r="H7" s="44" t="n">
        <x:v>90</x:v>
      </x:c>
      <x:c r="I7" s="44" t="n">
        <x:v>35</x:v>
      </x:c>
      <x:c r="J7" s="44" t="n">
        <x:v>90</x:v>
      </x:c>
      <x:c r="K7" s="44" t="str">
        <x:v>独处 / 情绪 / 夜空 / 波动 / 想象</x:v>
      </x:c>
      <x:c r="L7" s="44" t="str">
        <x:v>你的世界并不总是平静，但你会把波动变成属于自己的星光。</x:v>
      </x:c>
      <x:c r="M7" s="44" t="str">
        <x:v>你的生活未必总在变化，但你的内部世界很少真正平静。熟悉的事物会在你的感受里被重新放大、扭转和连接。你更习惯独自处理这些波动，并把现实里无法说清的部分转化成自己的想象。</x:v>
      </x:c>
      <x:c r="N7" s="44" t="str">
        <x:v>《星月夜》来自真实夜景经验，却被旋涡、星光和柏树重新组织成内在景象。它同时具备独处、自由、强烈情绪和高想象。</x:v>
      </x:c>
      <x:c r="O7" s="44" t="str">
        <x:f>IF(AND(IF(LEFT(B7,1)="1",F7&gt;=50,F7&lt;50),IF(MID(B7,3,1)="1",G7&gt;=50,G7&lt;50),IF(MID(B7,5,1)="1",H7&gt;=50,H7&lt;50),IF(MID(B7,7,1)="1",I7&gt;=50,I7&lt;50),IF(RIGHT(B7,1)="1",J7&gt;=50,J7&lt;50)),"通过","检查")</x:f>
        <x:v>通过</x:v>
      </x:c>
      <x:c r="P7" s="44" t="str">
        <x:v>待人工复核</x:v>
      </x:c>
      <x:c r="Q7" s="44"/>
    </x:row>
    <x:row r="8">
      <x:c r="A8" s="44" t="str">
        <x:v>T07</x:v>
      </x:c>
      <x:c r="B8" s="44" t="str">
        <x:v>0-0-1-1-0</x:v>
      </x:c>
      <x:c r="C8" s="44" t="str">
        <x:v>《雨、蒸汽和速度》</x:v>
      </x:c>
      <x:c r="D8" s="44" t="str">
        <x:v>J. M. W. Turner</x:v>
      </x:c>
      <x:c r="E8" s="44" t="str">
        <x:v>迎风的疾行者</x:v>
      </x:c>
      <x:c r="F8" s="44" t="n">
        <x:v>20</x:v>
      </x:c>
      <x:c r="G8" s="44" t="n">
        <x:v>30</x:v>
      </x:c>
      <x:c r="H8" s="44" t="n">
        <x:v>80</x:v>
      </x:c>
      <x:c r="I8" s="44" t="n">
        <x:v>85</x:v>
      </x:c>
      <x:c r="J8" s="44" t="n">
        <x:v>35</x:v>
      </x:c>
      <x:c r="K8" s="44" t="str">
        <x:v>独行 / 速度 / 变化 / 现实 / 强烈</x:v>
      </x:c>
      <x:c r="L8" s="44" t="str">
        <x:v>你愿意把自己交给速度和变化，在真实世界里感受前进的力量。</x:v>
      </x:c>
      <x:c r="M8" s="44" t="str">
        <x:v>你更愿意从真实的速度、天气和变化中感受生命力。面对未知，你的反应往往不是先把一切安排妥当，而是进入其中，在移动中理解局面。你需要的不是幻想中的远方，而是能够真正让自己向前的现实变化。</x:v>
      </x:c>
      <x:c r="N8" s="44" t="str">
        <x:v>特纳把火车、暴雨和速度融成高速运动的现实场景。画面结构松动、情绪强，主题又直接指向变化与前进，因此适合现实型探索者。</x:v>
      </x:c>
      <x:c r="O8" s="44" t="str">
        <x:f>IF(AND(IF(LEFT(B8,1)="1",F8&gt;=50,F8&lt;50),IF(MID(B8,3,1)="1",G8&gt;=50,G8&lt;50),IF(MID(B8,5,1)="1",H8&gt;=50,H8&lt;50),IF(MID(B8,7,1)="1",I8&gt;=50,I8&lt;50),IF(RIGHT(B8,1)="1",J8&gt;=50,J8&lt;50)),"通过","检查")</x:f>
        <x:v>通过</x:v>
      </x:c>
      <x:c r="P8" s="44" t="str">
        <x:v>待人工复核</x:v>
      </x:c>
      <x:c r="Q8" s="44"/>
    </x:row>
    <x:row r="9">
      <x:c r="A9" s="44" t="str">
        <x:v>T08</x:v>
      </x:c>
      <x:c r="B9" s="44" t="str">
        <x:v>0-0-1-1-1</x:v>
      </x:c>
      <x:c r="C9" s="44" t="str">
        <x:v>《冰海》</x:v>
      </x:c>
      <x:c r="D9" s="44" t="str">
        <x:v>Caspar David Friedrich</x:v>
      </x:c>
      <x:c r="E9" s="44" t="str">
        <x:v>荒境的探寻者</x:v>
      </x:c>
      <x:c r="F9" s="44" t="n">
        <x:v>15</x:v>
      </x:c>
      <x:c r="G9" s="44" t="n">
        <x:v>35</x:v>
      </x:c>
      <x:c r="H9" s="44" t="n">
        <x:v>80</x:v>
      </x:c>
      <x:c r="I9" s="44" t="n">
        <x:v>85</x:v>
      </x:c>
      <x:c r="J9" s="44" t="n">
        <x:v>70</x:v>
      </x:c>
      <x:c r="K9" s="44" t="str">
        <x:v>独处 / 荒凉 / 边界 / 强烈 / 想象</x:v>
      </x:c>
      <x:c r="L9" s="44" t="str">
        <x:v>越是陌生和荒凉的边界，越容易唤醒你强烈的想象与意志。</x:v>
      </x:c>
      <x:c r="M9" s="44" t="str">
        <x:v>你会被边界、荒凉和未知吸引，而且这种吸引往往伴随着强烈感受。你并不需要很多人同行，也不执着于一条清楚路线。越是超出日常经验的场景，越容易让你的想象和情绪同时被唤醒。</x:v>
      </x:c>
      <x:c r="N9" s="44" t="str">
        <x:v>碎裂冰层与被压倒的船体让《冰海》呈现极端环境和崇高感。构图不稳定、情绪强烈，又把现实自然推向象征性的未知。</x:v>
      </x:c>
      <x:c r="O9" s="44" t="str">
        <x:f>IF(AND(IF(LEFT(B9,1)="1",F9&gt;=50,F9&lt;50),IF(MID(B9,3,1)="1",G9&gt;=50,G9&lt;50),IF(MID(B9,5,1)="1",H9&gt;=50,H9&lt;50),IF(MID(B9,7,1)="1",I9&gt;=50,I9&lt;50),IF(RIGHT(B9,1)="1",J9&gt;=50,J9&lt;50)),"通过","检查")</x:f>
        <x:v>通过</x:v>
      </x:c>
      <x:c r="P9" s="44" t="str">
        <x:v>待人工复核</x:v>
      </x:c>
      <x:c r="Q9" s="44"/>
    </x:row>
    <x:row r="10">
      <x:c r="A10" s="44" t="str">
        <x:v>T09</x:v>
      </x:c>
      <x:c r="B10" s="44" t="str">
        <x:v>0-1-0-0-0</x:v>
      </x:c>
      <x:c r="C10" s="44" t="str">
        <x:v>《室内：背对观者的年轻女子》</x:v>
      </x:c>
      <x:c r="D10" s="44" t="str">
        <x:v>Vilhelm Hammershøi</x:v>
      </x:c>
      <x:c r="E10" s="44" t="str">
        <x:v>安静的秩序者</x:v>
      </x:c>
      <x:c r="F10" s="44" t="n">
        <x:v>15</x:v>
      </x:c>
      <x:c r="G10" s="44" t="n">
        <x:v>85</x:v>
      </x:c>
      <x:c r="H10" s="44" t="n">
        <x:v>20</x:v>
      </x:c>
      <x:c r="I10" s="44" t="n">
        <x:v>20</x:v>
      </x:c>
      <x:c r="J10" s="44" t="n">
        <x:v>25</x:v>
      </x:c>
      <x:c r="K10" s="44" t="str">
        <x:v>独处 / 秩序 / 室内 / 稳定 / 克制</x:v>
      </x:c>
      <x:c r="L10" s="44" t="str">
        <x:v>你需要清楚的边界和安静的秩序，日常因此变得可靠。</x:v>
      </x:c>
      <x:c r="M10" s="44" t="str">
        <x:v>你重视属于自己的空间，也喜欢生活保持清楚、稳定和可预期。你不需要持续的新鲜刺激，很多时候，安静的房间、固定的节奏和可以掌握的日常，就足以让你恢复状态。</x:v>
      </x:c>
      <x:c r="N10" s="44" t="str">
        <x:v>哈默修伊的室内画以门框、墙面和有限色调建立清楚边界。人物背向观者、空间安静封闭，强调独处、秩序、熟悉和现实。</x:v>
      </x:c>
      <x:c r="O10" s="44" t="str">
        <x:f>IF(AND(IF(LEFT(B10,1)="1",F10&gt;=50,F10&lt;50),IF(MID(B10,3,1)="1",G10&gt;=50,G10&lt;50),IF(MID(B10,5,1)="1",H10&gt;=50,H10&lt;50),IF(MID(B10,7,1)="1",I10&gt;=50,I10&lt;50),IF(RIGHT(B10,1)="1",J10&gt;=50,J10&lt;50)),"通过","检查")</x:f>
        <x:v>通过</x:v>
      </x:c>
      <x:c r="P10" s="44" t="str">
        <x:v>待人工复核</x:v>
      </x:c>
      <x:c r="Q10" s="44"/>
    </x:row>
    <x:row r="11">
      <x:c r="A11" s="44" t="str">
        <x:v>T10</x:v>
      </x:c>
      <x:c r="B11" s="44" t="str">
        <x:v>0-1-0-0-1</x:v>
      </x:c>
      <x:c r="C11" s="44" t="str">
        <x:v>《街道的神秘与忧郁》</x:v>
      </x:c>
      <x:c r="D11" s="44" t="str">
        <x:v>Giorgio de Chirico</x:v>
      </x:c>
      <x:c r="E11" s="44" t="str">
        <x:v>寂静的造境者</x:v>
      </x:c>
      <x:c r="F11" s="44" t="n">
        <x:v>15</x:v>
      </x:c>
      <x:c r="G11" s="44" t="n">
        <x:v>75</x:v>
      </x:c>
      <x:c r="H11" s="44" t="n">
        <x:v>25</x:v>
      </x:c>
      <x:c r="I11" s="44" t="n">
        <x:v>25</x:v>
      </x:c>
      <x:c r="J11" s="44" t="n">
        <x:v>85</x:v>
      </x:c>
      <x:c r="K11" s="44" t="str">
        <x:v>独处 / 秩序 / 熟悉 / 神秘 / 想象</x:v>
      </x:c>
      <x:c r="L11" s="44" t="str">
        <x:v>你喜欢熟悉世界里的秩序，却总能看见它背后不寻常的一层。</x:v>
      </x:c>
      <x:c r="M11" s="44" t="str">
        <x:v>你表面上偏爱稳定和秩序，内心却会对熟悉事物产生第二层想象。你不一定主动追逐陌生环境，但一条空街、一束斜光、一个不合常理的细节，都可能让你开始思考现实之外还隐藏着什么。</x:v>
      </x:c>
      <x:c r="N11" s="44" t="str">
        <x:v>德·基里科用严格透视和建筑秩序描绘空旷街道，却通过阴影、尺度和不合常理的关系制造谜感。它把熟悉结构转化成克制的想象。</x:v>
      </x:c>
      <x:c r="O11" s="44" t="str">
        <x:f>IF(AND(IF(LEFT(B11,1)="1",F11&gt;=50,F11&lt;50),IF(MID(B11,3,1)="1",G11&gt;=50,G11&lt;50),IF(MID(B11,5,1)="1",H11&gt;=50,H11&lt;50),IF(MID(B11,7,1)="1",I11&gt;=50,I11&lt;50),IF(RIGHT(B11,1)="1",J11&gt;=50,J11&lt;50)),"通过","检查")</x:f>
        <x:v>通过</x:v>
      </x:c>
      <x:c r="P11" s="44" t="str">
        <x:v>待人工复核</x:v>
      </x:c>
      <x:c r="Q11" s="44"/>
    </x:row>
    <x:row r="12">
      <x:c r="A12" s="44" t="str">
        <x:v>T11</x:v>
      </x:c>
      <x:c r="B12" s="44" t="str">
        <x:v>0-1-0-1-0</x:v>
      </x:c>
      <x:c r="C12" s="44" t="str">
        <x:v>《溪山行旅图》</x:v>
      </x:c>
      <x:c r="D12" s="44" t="str">
        <x:v>范宽</x:v>
      </x:c>
      <x:c r="E12" s="44" t="str">
        <x:v>独行的观山者</x:v>
      </x:c>
      <x:c r="F12" s="44" t="n">
        <x:v>15</x:v>
      </x:c>
      <x:c r="G12" s="44" t="n">
        <x:v>85</x:v>
      </x:c>
      <x:c r="H12" s="44" t="n">
        <x:v>30</x:v>
      </x:c>
      <x:c r="I12" s="44" t="n">
        <x:v>80</x:v>
      </x:c>
      <x:c r="J12" s="44" t="n">
        <x:v>40</x:v>
      </x:c>
      <x:c r="K12" s="44" t="str">
        <x:v>独处 / 秩序 / 山川 / 探索 / 真实</x:v>
      </x:c>
      <x:c r="L12" s="44" t="str">
        <x:v>你愿意独自走进更大的世界，用耐心和秩序理解真实的尺度。</x:v>
      </x:c>
      <x:c r="M12" s="44" t="str">
        <x:v>你喜欢独自理解真实世界，而且愿意为这种理解投入耐心。面对庞大、陌生或复杂的事物，你更倾向建立自己的观察顺序，再一点点确认位置和尺度。远方吸引你，但你不会因此失去判断。</x:v>
      </x:c>
      <x:c r="N12" s="44" t="str">
        <x:v>《溪山行旅图》用严密层次建立巨大山体，人物被压缩到极小尺度。观看者像独自进入真实自然，以秩序理解宏大的陌生空间。</x:v>
      </x:c>
      <x:c r="O12" s="44" t="str">
        <x:f>IF(AND(IF(LEFT(B12,1)="1",F12&gt;=50,F12&lt;50),IF(MID(B12,3,1)="1",G12&gt;=50,G12&lt;50),IF(MID(B12,5,1)="1",H12&gt;=50,H12&lt;50),IF(MID(B12,7,1)="1",I12&gt;=50,I12&lt;50),IF(RIGHT(B12,1)="1",J12&gt;=50,J12&lt;50)),"通过","检查")</x:f>
        <x:v>通过</x:v>
      </x:c>
      <x:c r="P12" s="44" t="str">
        <x:v>待人工复核</x:v>
      </x:c>
      <x:c r="Q12" s="44"/>
    </x:row>
    <x:row r="13">
      <x:c r="A13" s="44" t="str">
        <x:v>T12</x:v>
      </x:c>
      <x:c r="B13" s="44" t="str">
        <x:v>0-1-0-1-1</x:v>
      </x:c>
      <x:c r="C13" s="44" t="str">
        <x:v>《海边的僧侣》</x:v>
      </x:c>
      <x:c r="D13" s="44" t="str">
        <x:v>Caspar David Friedrich</x:v>
      </x:c>
      <x:c r="E13" s="44" t="str">
        <x:v>远方的凝望者</x:v>
      </x:c>
      <x:c r="F13" s="44" t="n">
        <x:v>10</x:v>
      </x:c>
      <x:c r="G13" s="44" t="n">
        <x:v>65</x:v>
      </x:c>
      <x:c r="H13" s="44" t="n">
        <x:v>35</x:v>
      </x:c>
      <x:c r="I13" s="44" t="n">
        <x:v>80</x:v>
      </x:c>
      <x:c r="J13" s="44" t="n">
        <x:v>75</x:v>
      </x:c>
      <x:c r="K13" s="44" t="str">
        <x:v>独处 / 留白 / 秩序 / 未知 / 想象</x:v>
      </x:c>
      <x:c r="L13" s="44" t="str">
        <x:v>你更愿意站得远一点，看清未知，再决定如何靠近它。</x:v>
      </x:c>
      <x:c r="M13" s="44" t="str">
        <x:v>你对未知保持强烈兴趣，但靠近它的方式很安静。你更喜欢先拉开一点距离，让自己看清整体，再决定是否继续前进。你既需要某种秩序，也愿意为无法完全解释的事物留下想象空间。</x:v>
      </x:c>
      <x:c r="N13" s="44" t="str">
        <x:v>《海边的僧侣》用极简水平结构承载几乎无边的海天，一个小人物独自面对未知。画面克制，却留下强烈的精神想象空间。</x:v>
      </x:c>
      <x:c r="O13" s="44" t="str">
        <x:f>IF(AND(IF(LEFT(B13,1)="1",F13&gt;=50,F13&lt;50),IF(MID(B13,3,1)="1",G13&gt;=50,G13&lt;50),IF(MID(B13,5,1)="1",H13&gt;=50,H13&lt;50),IF(MID(B13,7,1)="1",I13&gt;=50,I13&lt;50),IF(RIGHT(B13,1)="1",J13&gt;=50,J13&lt;50)),"通过","检查")</x:f>
        <x:v>通过</x:v>
      </x:c>
      <x:c r="P13" s="44" t="str">
        <x:v>待人工复核</x:v>
      </x:c>
      <x:c r="Q13" s="44"/>
    </x:row>
    <x:row r="14">
      <x:c r="A14" s="44" t="str">
        <x:v>T13</x:v>
      </x:c>
      <x:c r="B14" s="44" t="str">
        <x:v>0-1-1-0-0</x:v>
      </x:c>
      <x:c r="C14" s="44" t="str">
        <x:v>《包扎耳朵的自画像》</x:v>
      </x:c>
      <x:c r="D14" s="44" t="str">
        <x:v>Vincent van Gogh</x:v>
      </x:c>
      <x:c r="E14" s="44" t="str">
        <x:v>清醒的承受者</x:v>
      </x:c>
      <x:c r="F14" s="44" t="n">
        <x:v>10</x:v>
      </x:c>
      <x:c r="G14" s="44" t="n">
        <x:v>70</x:v>
      </x:c>
      <x:c r="H14" s="44" t="n">
        <x:v>85</x:v>
      </x:c>
      <x:c r="I14" s="44" t="n">
        <x:v>25</x:v>
      </x:c>
      <x:c r="J14" s="44" t="n">
        <x:v>30</x:v>
      </x:c>
      <x:c r="K14" s="44" t="str">
        <x:v>独处 / 真实 / 自省 / 秩序 / 强烈</x:v>
      </x:c>
      <x:c r="L14" s="44" t="str">
        <x:v>你不会回避真实的伤口，也会努力把强烈感受整理成可以面对的样子。</x:v>
      </x:c>
      <x:c r="M14" s="44" t="str">
        <x:v>你对现实中的伤痛和变化感受很深，却不愿意让它们失去形状。即使情绪很强，你也更倾向独自整理、确认和面对事实。你不是逃向另一个世界，而是试图在真实处境中重新站稳。</x:v>
      </x:c>
      <x:c r="N14" s="44" t="str">
        <x:v>这幅自画像以稳定肖像结构直面身体受伤后的现实状态。色彩和笔触强烈，但主题具体、私人且自我凝视，对应独处、秩序与高情感。</x:v>
      </x:c>
      <x:c r="O14" s="44" t="str">
        <x:f>IF(AND(IF(LEFT(B14,1)="1",F14&gt;=50,F14&lt;50),IF(MID(B14,3,1)="1",G14&gt;=50,G14&lt;50),IF(MID(B14,5,1)="1",H14&gt;=50,H14&lt;50),IF(MID(B14,7,1)="1",I14&gt;=50,I14&lt;50),IF(RIGHT(B14,1)="1",J14&gt;=50,J14&lt;50)),"通过","检查")</x:f>
        <x:v>通过</x:v>
      </x:c>
      <x:c r="P14" s="44" t="str">
        <x:v>待人工复核</x:v>
      </x:c>
      <x:c r="Q14" s="44"/>
    </x:row>
    <x:row r="15">
      <x:c r="A15" s="44" t="str">
        <x:v>T14</x:v>
      </x:c>
      <x:c r="B15" s="44" t="str">
        <x:v>0-1-1-0-1</x:v>
      </x:c>
      <x:c r="C15" s="44" t="str">
        <x:v>《呐喊》</x:v>
      </x:c>
      <x:c r="D15" s="44" t="str">
        <x:v>Edvard Munch</x:v>
      </x:c>
      <x:c r="E15" s="44" t="str">
        <x:v>内心的回声者</x:v>
      </x:c>
      <x:c r="F15" s="44" t="n">
        <x:v>10</x:v>
      </x:c>
      <x:c r="G15" s="44" t="n">
        <x:v>65</x:v>
      </x:c>
      <x:c r="H15" s="44" t="n">
        <x:v>95</x:v>
      </x:c>
      <x:c r="I15" s="44" t="n">
        <x:v>25</x:v>
      </x:c>
      <x:c r="J15" s="44" t="n">
        <x:v>85</x:v>
      </x:c>
      <x:c r="K15" s="44" t="str">
        <x:v>独处 / 情绪 / 回声 / 熟悉 / 想象</x:v>
      </x:c>
      <x:c r="L15" s="44" t="str">
        <x:v>你的内心回声很强，熟悉的世界也可能被感受重新改变形状。</x:v>
      </x:c>
      <x:c r="M15" s="44" t="str">
        <x:v>你的内在感受可能比外部环境更有重量。熟悉的世界并不一定能降低这种强度，因为情绪本身会改变你看见事物的方式。你通常独自经历这些时刻，同时也容易把感受转化成非常鲜明的内在画面。</x:v>
      </x:c>
      <x:c r="N15" s="44" t="str">
        <x:v>《呐喊》保留桥梁与远景的秩序，却让线条、天空和人物被情绪扭曲。熟悉环境被内在体验重新塑形，是强烈情感与高想象的典型组合。</x:v>
      </x:c>
      <x:c r="O15" s="44" t="str">
        <x:f>IF(AND(IF(LEFT(B15,1)="1",F15&gt;=50,F15&lt;50),IF(MID(B15,3,1)="1",G15&gt;=50,G15&lt;50),IF(MID(B15,5,1)="1",H15&gt;=50,H15&lt;50),IF(MID(B15,7,1)="1",I15&gt;=50,I15&lt;50),IF(RIGHT(B15,1)="1",J15&gt;=50,J15&lt;50)),"通过","检查")</x:f>
        <x:v>通过</x:v>
      </x:c>
      <x:c r="P15" s="44" t="str">
        <x:v>待人工复核</x:v>
      </x:c>
      <x:c r="Q15" s="44"/>
    </x:row>
    <x:row r="16">
      <x:c r="A16" s="44" t="str">
        <x:v>T15</x:v>
      </x:c>
      <x:c r="B16" s="44" t="str">
        <x:v>0-1-1-1-0</x:v>
      </x:c>
      <x:c r="C16" s="44" t="str">
        <x:v>《跨越阿尔卑斯山圣伯纳隘道的拿破仑》</x:v>
      </x:c>
      <x:c r="D16" s="44" t="str">
        <x:v>Jacques-Louis David</x:v>
      </x:c>
      <x:c r="E16" s="44" t="str">
        <x:v>坚定的攀登者</x:v>
      </x:c>
      <x:c r="F16" s="44" t="n">
        <x:v>15</x:v>
      </x:c>
      <x:c r="G16" s="44" t="n">
        <x:v>85</x:v>
      </x:c>
      <x:c r="H16" s="44" t="n">
        <x:v>80</x:v>
      </x:c>
      <x:c r="I16" s="44" t="n">
        <x:v>90</x:v>
      </x:c>
      <x:c r="J16" s="44" t="n">
        <x:v>35</x:v>
      </x:c>
      <x:c r="K16" s="44" t="str">
        <x:v>独立 / 目标 / 秩序 / 行动 / 探索</x:v>
      </x:c>
      <x:c r="L16" s="44" t="str">
        <x:v>你会把强烈的目标感收进明确方向里，然后一步一步向更高处推进。</x:v>
      </x:c>
      <x:c r="M16" s="44" t="str">
        <x:v>你会把强烈的目标感放进明确方向里。面对新的高度或困难，你不喜欢完全随波而动，而更愿意确认目标、保持节奏，再持续推进。你相信行动发生在现实世界，因此结果、路径和到达本身都很重要。</x:v>
      </x:c>
      <x:c r="N16" s="44" t="str">
        <x:v>大卫用新古典主义的清晰结构组织一场跨越险境的行动。人物目标明确、方向清楚、情绪昂扬，适合秩序感强且面向现实挑战的探索类型。</x:v>
      </x:c>
      <x:c r="O16" s="44" t="str">
        <x:f>IF(AND(IF(LEFT(B16,1)="1",F16&gt;=50,F16&lt;50),IF(MID(B16,3,1)="1",G16&gt;=50,G16&lt;50),IF(MID(B16,5,1)="1",H16&gt;=50,H16&lt;50),IF(MID(B16,7,1)="1",I16&gt;=50,I16&lt;50),IF(RIGHT(B16,1)="1",J16&gt;=50,J16&lt;50)),"通过","检查")</x:f>
        <x:v>通过</x:v>
      </x:c>
      <x:c r="P16" s="44" t="str">
        <x:v>待人工复核</x:v>
      </x:c>
      <x:c r="Q16" s="44"/>
    </x:row>
    <x:row r="17">
      <x:c r="A17" s="44" t="str">
        <x:v>T16</x:v>
      </x:c>
      <x:c r="B17" s="44" t="str">
        <x:v>0-1-1-1-1</x:v>
      </x:c>
      <x:c r="C17" s="44" t="str">
        <x:v>《死之岛》</x:v>
      </x:c>
      <x:c r="D17" s="44" t="str">
        <x:v>Arnold Böcklin</x:v>
      </x:c>
      <x:c r="E17" s="44" t="str">
        <x:v>幽境的远航者</x:v>
      </x:c>
      <x:c r="F17" s="44" t="n">
        <x:v>10</x:v>
      </x:c>
      <x:c r="G17" s="44" t="n">
        <x:v>80</x:v>
      </x:c>
      <x:c r="H17" s="44" t="n">
        <x:v>75</x:v>
      </x:c>
      <x:c r="I17" s="44" t="n">
        <x:v>80</x:v>
      </x:c>
      <x:c r="J17" s="44" t="n">
        <x:v>90</x:v>
      </x:c>
      <x:c r="K17" s="44" t="str">
        <x:v>独处 / 秩序 / 深处 / 强烈 / 象征</x:v>
      </x:c>
      <x:c r="L17" s="44" t="str">
        <x:v>你被未知吸引，但不是莽撞靠近；你更愿意带着秩序走进深处。</x:v>
      </x:c>
      <x:c r="M17" s="44" t="str">
        <x:v>你对未知、象征和边界问题有很强的吸引力，但你进入这些领域的方式并不混乱。你需要一种内部秩序来承载强烈感受，再沿着它走向更深、更远的地方。对你来说，想象是一种有方向的探索。</x:v>
      </x:c>
      <x:c r="N17" s="44" t="str">
        <x:v>《死之岛》以稳定近乎对称的构图，引导小船驶向封闭而神秘的岛。秩序、强情绪、远行与象征想象同时存在。</x:v>
      </x:c>
      <x:c r="O17" s="44" t="str">
        <x:f>IF(AND(IF(LEFT(B17,1)="1",F17&gt;=50,F17&lt;50),IF(MID(B17,3,1)="1",G17&gt;=50,G17&lt;50),IF(MID(B17,5,1)="1",H17&gt;=50,H17&lt;50),IF(MID(B17,7,1)="1",I17&gt;=50,I17&lt;50),IF(RIGHT(B17,1)="1",J17&gt;=50,J17&lt;50)),"通过","检查")</x:f>
        <x:v>通过</x:v>
      </x:c>
      <x:c r="P17" s="44" t="str">
        <x:v>待人工复核</x:v>
      </x:c>
      <x:c r="Q17" s="44"/>
    </x:row>
    <x:row r="18">
      <x:c r="A18" s="44" t="str">
        <x:v>T17</x:v>
      </x:c>
      <x:c r="B18" s="44" t="str">
        <x:v>1-0-0-0-0</x:v>
      </x:c>
      <x:c r="C18" s="44" t="str">
        <x:v>《划船》</x:v>
      </x:c>
      <x:c r="D18" s="44" t="str">
        <x:v>Édouard Manet</x:v>
      </x:c>
      <x:c r="E18" s="44" t="str">
        <x:v>松弛的同行者</x:v>
      </x:c>
      <x:c r="F18" s="44" t="n">
        <x:v>70</x:v>
      </x:c>
      <x:c r="G18" s="44" t="n">
        <x:v>30</x:v>
      </x:c>
      <x:c r="H18" s="44" t="n">
        <x:v>30</x:v>
      </x:c>
      <x:c r="I18" s="44" t="n">
        <x:v>25</x:v>
      </x:c>
      <x:c r="J18" s="44" t="n">
        <x:v>20</x:v>
      </x:c>
      <x:c r="K18" s="44" t="str">
        <x:v>联结 / 松弛 / 日常 / 熟悉 / 真实</x:v>
      </x:c>
      <x:c r="L18" s="44" t="str">
        <x:v>你喜欢有人同行，却不需要把每一刻都安排得很满。</x:v>
      </x:c>
      <x:c r="M18" s="44" t="str">
        <x:v>你喜欢与人共享生活，但不需要把关系经营成一套精密计划。熟悉的陪伴、真实的天气和自然发生的对话，对你来说就已经足够。你更在意一起度过的感觉，而不是这段时间必须产生什么意义。</x:v>
      </x:c>
      <x:c r="N18" s="44" t="str">
        <x:v>马奈把两个人的水上休闲处理得轻松直接，构图开放、气氛日常，没有强烈戏剧。它强调陪伴、松弛、熟悉与现实体验。</x:v>
      </x:c>
      <x:c r="O18" s="44" t="str">
        <x:f>IF(AND(IF(LEFT(B18,1)="1",F18&gt;=50,F18&lt;50),IF(MID(B18,3,1)="1",G18&gt;=50,G18&lt;50),IF(MID(B18,5,1)="1",H18&gt;=50,H18&lt;50),IF(MID(B18,7,1)="1",I18&gt;=50,I18&lt;50),IF(RIGHT(B18,1)="1",J18&gt;=50,J18&lt;50)),"通过","检查")</x:f>
        <x:v>通过</x:v>
      </x:c>
      <x:c r="P18" s="44" t="str">
        <x:v>待人工复核</x:v>
      </x:c>
      <x:c r="Q18" s="44"/>
    </x:row>
    <x:row r="19">
      <x:c r="A19" s="44" t="str">
        <x:v>T18</x:v>
      </x:c>
      <x:c r="B19" s="44" t="str">
        <x:v>1-0-0-0-1</x:v>
      </x:c>
      <x:c r="C19" s="44" t="str">
        <x:v>《我与村庄》</x:v>
      </x:c>
      <x:c r="D19" s="44" t="str">
        <x:v>Marc Chagall</x:v>
      </x:c>
      <x:c r="E19" s="44" t="str">
        <x:v>故乡的织梦者</x:v>
      </x:c>
      <x:c r="F19" s="44" t="n">
        <x:v>75</x:v>
      </x:c>
      <x:c r="G19" s="44" t="n">
        <x:v>35</x:v>
      </x:c>
      <x:c r="H19" s="44" t="n">
        <x:v>40</x:v>
      </x:c>
      <x:c r="I19" s="44" t="n">
        <x:v>25</x:v>
      </x:c>
      <x:c r="J19" s="44" t="n">
        <x:v>90</x:v>
      </x:c>
      <x:c r="K19" s="44" t="str">
        <x:v>联结 / 故乡 / 记忆 / 自由 / 想象</x:v>
      </x:c>
      <x:c r="L19" s="44" t="str">
        <x:v>你珍惜熟悉的人与地方，也会把它们重新织成只属于自己的想象。</x:v>
      </x:c>
      <x:c r="M19" s="44" t="str">
        <x:v>你和熟悉的人、地方之间有稳定连接，但记忆在你心里从来不是原样保存。你会自然地把现实中的人物、动物、家乡和片段重新组合，形成带有私人色彩的世界。想象让关系变得更长久。</x:v>
      </x:c>
      <x:c r="N19" s="44" t="str">
        <x:v>夏加尔把人物、动物和村庄记忆并置在同一画面中。关系来自熟悉生活，结构却自由跳跃，现实被记忆和想象重新编织。</x:v>
      </x:c>
      <x:c r="O19" s="44" t="str">
        <x:f>IF(AND(IF(LEFT(B19,1)="1",F19&gt;=50,F19&lt;50),IF(MID(B19,3,1)="1",G19&gt;=50,G19&lt;50),IF(MID(B19,5,1)="1",H19&gt;=50,H19&lt;50),IF(MID(B19,7,1)="1",I19&gt;=50,I19&lt;50),IF(RIGHT(B19,1)="1",J19&gt;=50,J19&lt;50)),"通过","检查")</x:f>
        <x:v>通过</x:v>
      </x:c>
      <x:c r="P19" s="44" t="str">
        <x:v>待人工复核</x:v>
      </x:c>
      <x:c r="Q19" s="44"/>
    </x:row>
    <x:row r="20">
      <x:c r="A20" s="44" t="str">
        <x:v>T19</x:v>
      </x:c>
      <x:c r="B20" s="44" t="str">
        <x:v>1-0-0-1-0</x:v>
      </x:c>
      <x:c r="C20" s="44" t="str">
        <x:v>《大桥骤雨》</x:v>
      </x:c>
      <x:c r="D20" s="44" t="str">
        <x:v>歌川广重</x:v>
      </x:c>
      <x:c r="E20" s="44" t="str">
        <x:v>随雨而行的人</x:v>
      </x:c>
      <x:c r="F20" s="44" t="n">
        <x:v>65</x:v>
      </x:c>
      <x:c r="G20" s="44" t="n">
        <x:v>35</x:v>
      </x:c>
      <x:c r="H20" s="44" t="n">
        <x:v>30</x:v>
      </x:c>
      <x:c r="I20" s="44" t="n">
        <x:v>70</x:v>
      </x:c>
      <x:c r="J20" s="44" t="n">
        <x:v>25</x:v>
      </x:c>
      <x:c r="K20" s="44" t="str">
        <x:v>联结 / 自发 / 变化 / 行动 / 现实</x:v>
      </x:c>
      <x:c r="L20" s="44" t="str">
        <x:v>你愿意和世界保持连接，也能顺着变化自然前行。</x:v>
      </x:c>
      <x:c r="M20" s="44" t="str">
        <x:v>你愿意和别人一起身处变化之中，却不需要事先把一切安排好。环境突然改变时，你更容易顺着现实调整行动。你对新鲜体验保持兴趣，但注意力仍然落在真实的人、天气和道路上。</x:v>
      </x:c>
      <x:c r="N20" s="44" t="str">
        <x:v>广重描绘突如其来的雨和桥上赶路的人群。事件真实、变化突然，人物彼此共处却各自顺势行动，具有联结、自发和现实探索感。</x:v>
      </x:c>
      <x:c r="O20" s="44" t="str">
        <x:f>IF(AND(IF(LEFT(B20,1)="1",F20&gt;=50,F20&lt;50),IF(MID(B20,3,1)="1",G20&gt;=50,G20&lt;50),IF(MID(B20,5,1)="1",H20&gt;=50,H20&lt;50),IF(MID(B20,7,1)="1",I20&gt;=50,I20&lt;50),IF(RIGHT(B20,1)="1",J20&gt;=50,J20&lt;50)),"通过","检查")</x:f>
        <x:v>通过</x:v>
      </x:c>
      <x:c r="P20" s="44" t="str">
        <x:v>待人工复核</x:v>
      </x:c>
      <x:c r="Q20" s="44"/>
    </x:row>
    <x:row r="21">
      <x:c r="A21" s="44" t="str">
        <x:v>T20</x:v>
      </x:c>
      <x:c r="B21" s="44" t="str">
        <x:v>1-0-0-1-1</x:v>
      </x:c>
      <x:c r="C21" s="44" t="str">
        <x:v>《舟发西苔岛》</x:v>
      </x:c>
      <x:c r="D21" s="44" t="str">
        <x:v>Jean-Antoine Watteau</x:v>
      </x:c>
      <x:c r="E21" s="44" t="str">
        <x:v>浪漫的同行者</x:v>
      </x:c>
      <x:c r="F21" s="44" t="n">
        <x:v>80</x:v>
      </x:c>
      <x:c r="G21" s="44" t="n">
        <x:v>35</x:v>
      </x:c>
      <x:c r="H21" s="44" t="n">
        <x:v>40</x:v>
      </x:c>
      <x:c r="I21" s="44" t="n">
        <x:v>75</x:v>
      </x:c>
      <x:c r="J21" s="44" t="n">
        <x:v>80</x:v>
      </x:c>
      <x:c r="K21" s="44" t="str">
        <x:v>联结 / 远方 / 松弛 / 浪漫 / 想象</x:v>
      </x:c>
      <x:c r="L21" s="44" t="str">
        <x:v>对你来说，最好的远方常常不是一个人抵达，而是和人一起出发。</x:v>
      </x:c>
      <x:c r="M21" s="44" t="str">
        <x:v>你喜欢有人同行，也愿意让关系把你带到新的地方。你不执着于严密计划，而更相信共同经历会自然展开。对于你，探索不只是抵达陌生地点，也包括一起进入一种更浪漫、更有想象力的生活状态。</x:v>
      </x:c>
      <x:c r="N21" s="44" t="str">
        <x:v>华托把成对人物、旅途与神话中的西苔岛放在一起。关系是核心，构图轻盈自由，远方同时具有现实行动与浪漫想象。</x:v>
      </x:c>
      <x:c r="O21" s="44" t="str">
        <x:f>IF(AND(IF(LEFT(B21,1)="1",F21&gt;=50,F21&lt;50),IF(MID(B21,3,1)="1",G21&gt;=50,G21&lt;50),IF(MID(B21,5,1)="1",H21&gt;=50,H21&lt;50),IF(MID(B21,7,1)="1",I21&gt;=50,I21&lt;50),IF(RIGHT(B21,1)="1",J21&gt;=50,J21&lt;50)),"通过","检查")</x:f>
        <x:v>通过</x:v>
      </x:c>
      <x:c r="P21" s="44" t="str">
        <x:v>待人工复核</x:v>
      </x:c>
      <x:c r="Q21" s="44"/>
    </x:row>
    <x:row r="22">
      <x:c r="A22" s="44" t="str">
        <x:v>T21</x:v>
      </x:c>
      <x:c r="B22" s="44" t="str">
        <x:v>1-0-1-0-0</x:v>
      </x:c>
      <x:c r="C22" s="44" t="str">
        <x:v>《煎饼磨坊的舞会》</x:v>
      </x:c>
      <x:c r="D22" s="44" t="str">
        <x:v>Pierre-Auguste Renoir</x:v>
      </x:c>
      <x:c r="E22" s="44" t="str">
        <x:v>热烈的生活者</x:v>
      </x:c>
      <x:c r="F22" s="44" t="n">
        <x:v>95</x:v>
      </x:c>
      <x:c r="G22" s="44" t="n">
        <x:v>30</x:v>
      </x:c>
      <x:c r="H22" s="44" t="n">
        <x:v>80</x:v>
      </x:c>
      <x:c r="I22" s="44" t="n">
        <x:v>25</x:v>
      </x:c>
      <x:c r="J22" s="44" t="n">
        <x:v>20</x:v>
      </x:c>
      <x:c r="K22" s="44" t="str">
        <x:v>联结 / 热烈 / 日常 / 自发 / 真实</x:v>
      </x:c>
      <x:c r="L22" s="44" t="str">
        <x:v>你相信生活的热度，来自人与人之间真实而自然的相遇。</x:v>
      </x:c>
      <x:c r="M22" s="44" t="str">
        <x:v>你对生活的热度往往来自人与人的真实相遇。熟悉的场景、音乐、谈话和共同消磨的时间，会直接影响你的情绪。你不需要把这些快乐设计得很复杂，只要气氛自然流动，你就很容易投入其中。</x:v>
      </x:c>
      <x:c r="N22" s="44" t="str">
        <x:v>雷诺阿把舞会、人群、光线和谈话融成流动的生活现场。强烈的社交能量和愉悦来自熟悉现实，而不是象征或幻想。</x:v>
      </x:c>
      <x:c r="O22" s="44" t="str">
        <x:f>IF(AND(IF(LEFT(B22,1)="1",F22&gt;=50,F22&lt;50),IF(MID(B22,3,1)="1",G22&gt;=50,G22&lt;50),IF(MID(B22,5,1)="1",H22&gt;=50,H22&lt;50),IF(MID(B22,7,1)="1",I22&gt;=50,I22&lt;50),IF(RIGHT(B22,1)="1",J22&gt;=50,J22&lt;50)),"通过","检查")</x:f>
        <x:v>通过</x:v>
      </x:c>
      <x:c r="P22" s="44" t="str">
        <x:v>待人工复核</x:v>
      </x:c>
      <x:c r="Q22" s="44"/>
    </x:row>
    <x:row r="23">
      <x:c r="A23" s="44" t="str">
        <x:v>T22</x:v>
      </x:c>
      <x:c r="B23" s="44" t="str">
        <x:v>1-0-1-0-1</x:v>
      </x:c>
      <x:c r="C23" s="44" t="str">
        <x:v>《生日》</x:v>
      </x:c>
      <x:c r="D23" s="44" t="str">
        <x:v>Marc Chagall</x:v>
      </x:c>
      <x:c r="E23" s="44" t="str">
        <x:v>亲密的梦想家</x:v>
      </x:c>
      <x:c r="F23" s="44" t="n">
        <x:v>85</x:v>
      </x:c>
      <x:c r="G23" s="44" t="n">
        <x:v>30</x:v>
      </x:c>
      <x:c r="H23" s="44" t="n">
        <x:v>90</x:v>
      </x:c>
      <x:c r="I23" s="44" t="n">
        <x:v>30</x:v>
      </x:c>
      <x:c r="J23" s="44" t="n">
        <x:v>90</x:v>
      </x:c>
      <x:c r="K23" s="44" t="str">
        <x:v>联结 / 亲密 / 强烈 / 熟悉 / 梦境</x:v>
      </x:c>
      <x:c r="L23" s="44" t="str">
        <x:v>亲密关系会放大你的感受，也让日常轻轻离开地面。</x:v>
      </x:c>
      <x:c r="M23" s="44" t="str">
        <x:v>亲密关系会明显放大你的感受，也会激活你的想象。你喜欢让熟悉生活保持一点不受规则限制的浪漫：一个普通房间、一段关系、一个瞬间，都可能在你心里变得轻盈、夸张而特别。</x:v>
      </x:c>
      <x:c r="N23" s="44" t="str">
        <x:v>《生日》从一个亲密室内瞬间出发，却让人物漂浮、姿态被拉长。真实关系、强烈情感和自由想象被压进同一个日常场景。</x:v>
      </x:c>
      <x:c r="O23" s="44" t="str">
        <x:f>IF(AND(IF(LEFT(B23,1)="1",F23&gt;=50,F23&lt;50),IF(MID(B23,3,1)="1",G23&gt;=50,G23&lt;50),IF(MID(B23,5,1)="1",H23&gt;=50,H23&lt;50),IF(MID(B23,7,1)="1",I23&gt;=50,I23&lt;50),IF(RIGHT(B23,1)="1",J23&gt;=50,J23&lt;50)),"通过","检查")</x:f>
        <x:v>通过</x:v>
      </x:c>
      <x:c r="P23" s="44" t="str">
        <x:v>待人工复核</x:v>
      </x:c>
      <x:c r="Q23" s="44"/>
    </x:row>
    <x:row r="24">
      <x:c r="A24" s="44" t="str">
        <x:v>T23</x:v>
      </x:c>
      <x:c r="B24" s="44" t="str">
        <x:v>1-0-1-1-0</x:v>
      </x:c>
      <x:c r="C24" s="44" t="str">
        <x:v>《神奈川冲浪里》</x:v>
      </x:c>
      <x:c r="D24" s="44" t="str">
        <x:v>葛饰北斋</x:v>
      </x:c>
      <x:c r="E24" s="44" t="str">
        <x:v>迎浪的行动者</x:v>
      </x:c>
      <x:c r="F24" s="44" t="n">
        <x:v>70</x:v>
      </x:c>
      <x:c r="G24" s="44" t="n">
        <x:v>30</x:v>
      </x:c>
      <x:c r="H24" s="44" t="n">
        <x:v>85</x:v>
      </x:c>
      <x:c r="I24" s="44" t="n">
        <x:v>85</x:v>
      </x:c>
      <x:c r="J24" s="44" t="n">
        <x:v>35</x:v>
      </x:c>
      <x:c r="K24" s="44" t="str">
        <x:v>联结 / 风浪 / 强烈 / 探索 / 现实</x:v>
      </x:c>
      <x:c r="L24" s="44" t="str">
        <x:v>你知道浪会来，但你更在意怎样和同伴一起继续向前。</x:v>
      </x:c>
      <x:c r="M24" s="44" t="str">
        <x:v>你愿意和别人一起面对真实世界里的风浪。变化越明显，你越容易进入行动状态，而不是退回完全可控的地方。你接受局面不总按计划发展，也相信人在强烈环境中仍然可以继续向前。</x:v>
      </x:c>
      <x:c r="N24" s="44" t="str">
        <x:v>北斋让数艘船和船工共同面对巨浪。构图充满运动和紧张，题材仍是现实海上行动，能同时承载联结、强烈与探索。</x:v>
      </x:c>
      <x:c r="O24" s="44" t="str">
        <x:f>IF(AND(IF(LEFT(B24,1)="1",F24&gt;=50,F24&lt;50),IF(MID(B24,3,1)="1",G24&gt;=50,G24&lt;50),IF(MID(B24,5,1)="1",H24&gt;=50,H24&lt;50),IF(MID(B24,7,1)="1",I24&gt;=50,I24&lt;50),IF(RIGHT(B24,1)="1",J24&gt;=50,J24&lt;50)),"通过","检查")</x:f>
        <x:v>通过</x:v>
      </x:c>
      <x:c r="P24" s="44" t="str">
        <x:v>待人工复核</x:v>
      </x:c>
      <x:c r="Q24" s="44"/>
    </x:row>
    <x:row r="25">
      <x:c r="A25" s="44" t="str">
        <x:v>T24</x:v>
      </x:c>
      <x:c r="B25" s="44" t="str">
        <x:v>1-0-1-1-1</x:v>
      </x:c>
      <x:c r="C25" s="44" t="str">
        <x:v>《人间乐园》</x:v>
      </x:c>
      <x:c r="D25" s="44" t="str">
        <x:v>Hieronymus Bosch</x:v>
      </x:c>
      <x:c r="E25" s="44" t="str">
        <x:v>丰盛的冒险家</x:v>
      </x:c>
      <x:c r="F25" s="44" t="n">
        <x:v>90</x:v>
      </x:c>
      <x:c r="G25" s="44" t="n">
        <x:v>25</x:v>
      </x:c>
      <x:c r="H25" s="44" t="n">
        <x:v>90</x:v>
      </x:c>
      <x:c r="I25" s="44" t="n">
        <x:v>85</x:v>
      </x:c>
      <x:c r="J25" s="44" t="n">
        <x:v>95</x:v>
      </x:c>
      <x:c r="K25" s="44" t="str">
        <x:v>联结 / 丰盛 / 强烈 / 探索 / 奇想</x:v>
      </x:c>
      <x:c r="L25" s="44" t="str">
        <x:v>你对世界有旺盛的好奇，也愿意和别人一起走进复杂而陌生的经验。</x:v>
      </x:c>
      <x:c r="M25" s="44" t="str">
        <x:v>你对世界有旺盛的好奇，也不排斥复杂、热烈甚至有些混乱的体验。你喜欢人与人之间产生连接，同时又愿意让想象不断把边界推远。比起一个标准答案，你更容易被一个足够丰富的世界吸引。</x:v>
      </x:c>
      <x:c r="N25" s="44" t="str">
        <x:v>《人间乐园》把大量人物、动物、建筑和幻想生物置于连续而复杂的世界。它拥挤、自由、强烈，几乎把社交、探索和想象同时推到高位。</x:v>
      </x:c>
      <x:c r="O25" s="44" t="str">
        <x:f>IF(AND(IF(LEFT(B25,1)="1",F25&gt;=50,F25&lt;50),IF(MID(B25,3,1)="1",G25&gt;=50,G25&lt;50),IF(MID(B25,5,1)="1",H25&gt;=50,H25&lt;50),IF(MID(B25,7,1)="1",I25&gt;=50,I25&lt;50),IF(RIGHT(B25,1)="1",J25&gt;=50,J25&lt;50)),"通过","检查")</x:f>
        <x:v>通过</x:v>
      </x:c>
      <x:c r="P25" s="44" t="str">
        <x:v>待人工复核</x:v>
      </x:c>
      <x:c r="Q25" s="44"/>
    </x:row>
    <x:row r="26">
      <x:c r="A26" s="44" t="str">
        <x:v>T25</x:v>
      </x:c>
      <x:c r="B26" s="44" t="str">
        <x:v>1-1-0-0-0</x:v>
      </x:c>
      <x:c r="C26" s="44" t="str">
        <x:v>《清明上河图》</x:v>
      </x:c>
      <x:c r="D26" s="44" t="str">
        <x:v>张择端</x:v>
      </x:c>
      <x:c r="E26" s="44" t="str">
        <x:v>人间的组织者</x:v>
      </x:c>
      <x:c r="F26" s="44" t="n">
        <x:v>95</x:v>
      </x:c>
      <x:c r="G26" s="44" t="n">
        <x:v>85</x:v>
      </x:c>
      <x:c r="H26" s="44" t="n">
        <x:v>30</x:v>
      </x:c>
      <x:c r="I26" s="44" t="n">
        <x:v>25</x:v>
      </x:c>
      <x:c r="J26" s="44" t="n">
        <x:v>20</x:v>
      </x:c>
      <x:c r="K26" s="44" t="str">
        <x:v>联结 / 秩序 / 日常 / 社会 / 现实</x:v>
      </x:c>
      <x:c r="L26" s="44" t="str">
        <x:v>你关注人与人如何共同生活，也擅长在繁忙日常中看见秩序。</x:v>
      </x:c>
      <x:c r="M26" s="44" t="str">
        <x:v>你关注人与人怎样在真实世界中共同生活。熟悉的规则、分工、道路和日常活动不会让你觉得乏味，反而让你看见一个社会如何运行。你重视连接，也相信秩序能够让复杂生活持续下去。</x:v>
      </x:c>
      <x:c r="N26" s="44" t="str">
        <x:v>《清明上河图》以长卷呈现城市、道路、商业和大量人物互动。复杂社会被组织成可阅读的日常秩序，是联结、结构、熟悉与现实的强锚点。</x:v>
      </x:c>
      <x:c r="O26" s="44" t="str">
        <x:f>IF(AND(IF(LEFT(B26,1)="1",F26&gt;=50,F26&lt;50),IF(MID(B26,3,1)="1",G26&gt;=50,G26&lt;50),IF(MID(B26,5,1)="1",H26&gt;=50,H26&lt;50),IF(MID(B26,7,1)="1",I26&gt;=50,I26&lt;50),IF(RIGHT(B26,1)="1",J26&gt;=50,J26&lt;50)),"通过","检查")</x:f>
        <x:v>通过</x:v>
      </x:c>
      <x:c r="P26" s="44" t="str">
        <x:v>待人工复核</x:v>
      </x:c>
      <x:c r="Q26" s="44"/>
    </x:row>
    <x:row r="27">
      <x:c r="A27" s="44" t="str">
        <x:v>T26</x:v>
      </x:c>
      <x:c r="B27" s="44" t="str">
        <x:v>1-1-0-0-1</x:v>
      </x:c>
      <x:c r="C27" s="44" t="str">
        <x:v>《大使们》</x:v>
      </x:c>
      <x:c r="D27" s="44" t="str">
        <x:v>Hans Holbein the Younger</x:v>
      </x:c>
      <x:c r="E27" s="44" t="str">
        <x:v>含蓄的洞察者</x:v>
      </x:c>
      <x:c r="F27" s="44" t="n">
        <x:v>75</x:v>
      </x:c>
      <x:c r="G27" s="44" t="n">
        <x:v>85</x:v>
      </x:c>
      <x:c r="H27" s="44" t="n">
        <x:v>35</x:v>
      </x:c>
      <x:c r="I27" s="44" t="n">
        <x:v>25</x:v>
      </x:c>
      <x:c r="J27" s="44" t="n">
        <x:v>80</x:v>
      </x:c>
      <x:c r="K27" s="44" t="str">
        <x:v>联结 / 秩序 / 细节 / 熟悉 / 象征</x:v>
      </x:c>
      <x:c r="L27" s="44" t="str">
        <x:v>你相信现实有结构，也习惯在关系和细节背后寻找第二层意义。</x:v>
      </x:c>
      <x:c r="M27" s="44" t="str">
        <x:v>你重视人与人的位置和现实秩序，也会留意表面之下隐藏的第二层信息。你并不追逐频繁变化，但熟悉世界里的物件、姿态和细节常会引发进一步联想。对你来说，想象更像洞察，而不是逃离。</x:v>
      </x:c>
      <x:c r="N27" s="44" t="str">
        <x:v>《大使们》以正式双人肖像和精密物件建立秩序，同时用象征物和变形骷髅增加第二层阅读。它把社会关系、稳定结构与隐含想象结合起来。</x:v>
      </x:c>
      <x:c r="O27" s="44" t="str">
        <x:f>IF(AND(IF(LEFT(B27,1)="1",F27&gt;=50,F27&lt;50),IF(MID(B27,3,1)="1",G27&gt;=50,G27&lt;50),IF(MID(B27,5,1)="1",H27&gt;=50,H27&lt;50),IF(MID(B27,7,1)="1",I27&gt;=50,I27&lt;50),IF(RIGHT(B27,1)="1",J27&gt;=50,J27&lt;50)),"通过","检查")</x:f>
        <x:v>通过</x:v>
      </x:c>
      <x:c r="P27" s="44" t="str">
        <x:v>待人工复核</x:v>
      </x:c>
      <x:c r="Q27" s="44"/>
    </x:row>
    <x:row r="28">
      <x:c r="A28" s="44" t="str">
        <x:v>T27</x:v>
      </x:c>
      <x:c r="B28" s="44" t="str">
        <x:v>1-1-0-1-0</x:v>
      </x:c>
      <x:c r="C28" s="44" t="str">
        <x:v>《杜尔普博士的解剖课》</x:v>
      </x:c>
      <x:c r="D28" s="44" t="str">
        <x:v>Rembrandt</x:v>
      </x:c>
      <x:c r="E28" s="44" t="str">
        <x:v>理性的求证者</x:v>
      </x:c>
      <x:c r="F28" s="44" t="n">
        <x:v>80</x:v>
      </x:c>
      <x:c r="G28" s="44" t="n">
        <x:v>90</x:v>
      </x:c>
      <x:c r="H28" s="44" t="n">
        <x:v>35</x:v>
      </x:c>
      <x:c r="I28" s="44" t="n">
        <x:v>80</x:v>
      </x:c>
      <x:c r="J28" s="44" t="n">
        <x:v>20</x:v>
      </x:c>
      <x:c r="K28" s="44" t="str">
        <x:v>联结 / 秩序 / 求证 / 探索 / 现实</x:v>
      </x:c>
      <x:c r="L28" s="44" t="str">
        <x:v>你愿意和别人一起面对未知，用观察、证据和秩序把问题拆开。</x:v>
      </x:c>
      <x:c r="M28" s="44" t="str">
        <x:v>你愿意和别人一起进入未知问题，但希望过程有证据、有步骤、能被验证。面对陌生事物，你的兴趣更多来自理解它，而不是把它变成幻想。你相信共同观察和清楚的方法能够让复杂问题逐渐打开。</x:v>
      </x:c>
      <x:c r="N28" s="44" t="str">
        <x:v>《杜尔普博士的解剖课》围绕共同观察组织群体，构图集中，主题来自真实知识实践。未知通过方法和证据被打开，而不是通过幻想。</x:v>
      </x:c>
      <x:c r="O28" s="44" t="str">
        <x:f>IF(AND(IF(LEFT(B28,1)="1",F28&gt;=50,F28&lt;50),IF(MID(B28,3,1)="1",G28&gt;=50,G28&lt;50),IF(MID(B28,5,1)="1",H28&gt;=50,H28&lt;50),IF(MID(B28,7,1)="1",I28&gt;=50,I28&lt;50),IF(RIGHT(B28,1)="1",J28&gt;=50,J28&lt;50)),"通过","检查")</x:f>
        <x:v>通过</x:v>
      </x:c>
      <x:c r="P28" s="44" t="str">
        <x:v>待人工复核</x:v>
      </x:c>
      <x:c r="Q28" s="44"/>
    </x:row>
    <x:row r="29">
      <x:c r="A29" s="44" t="str">
        <x:v>T28</x:v>
      </x:c>
      <x:c r="B29" s="44" t="str">
        <x:v>1-1-0-1-1</x:v>
      </x:c>
      <x:c r="C29" s="44" t="str">
        <x:v>《雅典学院》</x:v>
      </x:c>
      <x:c r="D29" s="44" t="str">
        <x:v>Raphael</x:v>
      </x:c>
      <x:c r="E29" s="44" t="str">
        <x:v>思想的建构者</x:v>
      </x:c>
      <x:c r="F29" s="44" t="n">
        <x:v>95</x:v>
      </x:c>
      <x:c r="G29" s="44" t="n">
        <x:v>95</x:v>
      </x:c>
      <x:c r="H29" s="44" t="n">
        <x:v>35</x:v>
      </x:c>
      <x:c r="I29" s="44" t="n">
        <x:v>80</x:v>
      </x:c>
      <x:c r="J29" s="44" t="n">
        <x:v>75</x:v>
      </x:c>
      <x:c r="K29" s="44" t="str">
        <x:v>联结 / 秩序 / 思想 / 探索 / 想象</x:v>
      </x:c>
      <x:c r="L29" s="44" t="str">
        <x:v>你喜欢把不同人的思想放进同一张地图，再一起走向更大的问题。</x:v>
      </x:c>
      <x:c r="M29" s="44" t="str">
        <x:v>你喜欢把不同人的知识和观点放在同一个结构里，再一起追问更大的问题。你既需要逻辑和秩序，也愿意走向抽象概念和未知领域。对你而言，想象不是脱离现实，而是建立新的思想地图。</x:v>
      </x:c>
      <x:c r="N29" s="44" t="str">
        <x:v>《雅典学院》把不同思想家置于高度秩序化的建筑空间，并让他们围绕知识与世界展开交流。现实人物原型、抽象思想和共同探索被统一起来。</x:v>
      </x:c>
      <x:c r="O29" s="44" t="str">
        <x:f>IF(AND(IF(LEFT(B29,1)="1",F29&gt;=50,F29&lt;50),IF(MID(B29,3,1)="1",G29&gt;=50,G29&lt;50),IF(MID(B29,5,1)="1",H29&gt;=50,H29&lt;50),IF(MID(B29,7,1)="1",I29&gt;=50,I29&lt;50),IF(RIGHT(B29,1)="1",J29&gt;=50,J29&lt;50)),"通过","检查")</x:f>
        <x:v>通过</x:v>
      </x:c>
      <x:c r="P29" s="44" t="str">
        <x:v>待人工复核</x:v>
      </x:c>
      <x:c r="Q29" s="44"/>
    </x:row>
    <x:row r="30">
      <x:c r="A30" s="44" t="str">
        <x:v>T29</x:v>
      </x:c>
      <x:c r="B30" s="44" t="str">
        <x:v>1-1-1-0-0</x:v>
      </x:c>
      <x:c r="C30" s="44" t="str">
        <x:v>《夜巡》</x:v>
      </x:c>
      <x:c r="D30" s="44" t="str">
        <x:v>Rembrandt</x:v>
      </x:c>
      <x:c r="E30" s="44" t="str">
        <x:v>有力的担当者</x:v>
      </x:c>
      <x:c r="F30" s="44" t="n">
        <x:v>90</x:v>
      </x:c>
      <x:c r="G30" s="44" t="n">
        <x:v>80</x:v>
      </x:c>
      <x:c r="H30" s="44" t="n">
        <x:v>85</x:v>
      </x:c>
      <x:c r="I30" s="44" t="n">
        <x:v>35</x:v>
      </x:c>
      <x:c r="J30" s="44" t="n">
        <x:v>25</x:v>
      </x:c>
      <x:c r="K30" s="44" t="str">
        <x:v>联结 / 秩序 / 强烈 / 责任 / 现实</x:v>
      </x:c>
      <x:c r="L30" s="44" t="str">
        <x:v>你重视共同目标，也愿意在需要的时候把情绪和行动凝聚成力量。</x:v>
      </x:c>
      <x:c r="M30" s="44" t="str">
        <x:v>你重视群体中的共同目标，也容易被真实的人和行动激发情绪。你不喜欢让能量只是四散发生，而会倾向把它组织起来、指向一件具体的事情。熟悉的责任和关系，常常是你投入力量的地方。</x:v>
      </x:c>
      <x:c r="N30" s="44" t="str">
        <x:v>《夜巡》描绘一个有明确组织关系的群体，却用光线、动作和空间制造强烈能量。它的情绪服务于共同目标，而题材保持现实和熟悉的社会属性。</x:v>
      </x:c>
      <x:c r="O30" s="44" t="str">
        <x:f>IF(AND(IF(LEFT(B30,1)="1",F30&gt;=50,F30&lt;50),IF(MID(B30,3,1)="1",G30&gt;=50,G30&lt;50),IF(MID(B30,5,1)="1",H30&gt;=50,H30&lt;50),IF(MID(B30,7,1)="1",I30&gt;=50,I30&lt;50),IF(RIGHT(B30,1)="1",J30&gt;=50,J30&lt;50)),"通过","检查")</x:f>
        <x:v>通过</x:v>
      </x:c>
      <x:c r="P30" s="44" t="str">
        <x:v>待人工复核</x:v>
      </x:c>
      <x:c r="Q30" s="44"/>
    </x:row>
    <x:row r="31">
      <x:c r="A31" s="44" t="str">
        <x:v>T30</x:v>
      </x:c>
      <x:c r="B31" s="44" t="str">
        <x:v>1-1-1-0-1</x:v>
      </x:c>
      <x:c r="C31" s="44" t="str">
        <x:v>《吻》</x:v>
      </x:c>
      <x:c r="D31" s="44" t="str">
        <x:v>Gustav Klimt</x:v>
      </x:c>
      <x:c r="E31" s="44" t="str">
        <x:v>深情的守护者</x:v>
      </x:c>
      <x:c r="F31" s="44" t="n">
        <x:v>90</x:v>
      </x:c>
      <x:c r="G31" s="44" t="n">
        <x:v>75</x:v>
      </x:c>
      <x:c r="H31" s="44" t="n">
        <x:v>90</x:v>
      </x:c>
      <x:c r="I31" s="44" t="n">
        <x:v>25</x:v>
      </x:c>
      <x:c r="J31" s="44" t="n">
        <x:v>85</x:v>
      </x:c>
      <x:c r="K31" s="44" t="str">
        <x:v>联结 / 亲密 / 秩序 / 强烈 / 想象</x:v>
      </x:c>
      <x:c r="L31" s="44" t="str">
        <x:v>你需要深刻而确定的连接，也愿意让想象为亲密关系增加光泽。</x:v>
      </x:c>
      <x:c r="M31" s="44" t="str">
        <x:v>你需要深刻而确定的连接。关系一旦重要，就不只是陪伴，而会成为情绪和想象共同发生的空间。你愿意让亲密保持秩序和承诺，同时也希望它超越普通日常，拥有属于两个人的光泽。</x:v>
      </x:c>
      <x:c r="N31" s="44" t="str">
        <x:v>《吻》以紧密拥抱为中心，再用金色纹样和装饰结构包裹人物。关系高度集中、情绪强烈，稳定亲密与想象化视觉同时存在。</x:v>
      </x:c>
      <x:c r="O31" s="44" t="str">
        <x:f>IF(AND(IF(LEFT(B31,1)="1",F31&gt;=50,F31&lt;50),IF(MID(B31,3,1)="1",G31&gt;=50,G31&lt;50),IF(MID(B31,5,1)="1",H31&gt;=50,H31&lt;50),IF(MID(B31,7,1)="1",I31&gt;=50,I31&lt;50),IF(RIGHT(B31,1)="1",J31&gt;=50,J31&lt;50)),"通过","检查")</x:f>
        <x:v>通过</x:v>
      </x:c>
      <x:c r="P31" s="44" t="str">
        <x:v>待人工复核</x:v>
      </x:c>
      <x:c r="Q31" s="44"/>
    </x:row>
    <x:row r="32">
      <x:c r="A32" s="44" t="str">
        <x:v>T31</x:v>
      </x:c>
      <x:c r="B32" s="44" t="str">
        <x:v>1-1-1-1-0</x:v>
      </x:c>
      <x:c r="C32" s="44" t="str">
        <x:v>《梅杜萨之筏》</x:v>
      </x:c>
      <x:c r="D32" s="44" t="str">
        <x:v>Théodore Géricault</x:v>
      </x:c>
      <x:c r="E32" s="44" t="str">
        <x:v>逆境中的领航者</x:v>
      </x:c>
      <x:c r="F32" s="44" t="n">
        <x:v>90</x:v>
      </x:c>
      <x:c r="G32" s="44" t="n">
        <x:v>70</x:v>
      </x:c>
      <x:c r="H32" s="44" t="n">
        <x:v>95</x:v>
      </x:c>
      <x:c r="I32" s="44" t="n">
        <x:v>90</x:v>
      </x:c>
      <x:c r="J32" s="44" t="n">
        <x:v>30</x:v>
      </x:c>
      <x:c r="K32" s="44" t="str">
        <x:v>联结 / 秩序 / 强烈 / 未知 / 行动</x:v>
      </x:c>
      <x:c r="L32" s="44" t="str">
        <x:v>越是局面复杂，你越会把强烈感受转化为共同寻找出路的行动。</x:v>
      </x:c>
      <x:c r="M32" s="44" t="str">
        <x:v>面对复杂局面，你的情绪会被迅速调动，但你更愿意把这种强度转化为共同寻找出路的行动。你能感受到危机，也会关注群体如何组织、坚持和向外求援。未知不会自动让你退回安全区。</x:v>
      </x:c>
      <x:c r="N32" s="44" t="str">
        <x:v>《梅杜萨之筏》以群体在现实灾难中的求生为主题，构图严密、动作和情绪达到高强度。共同处境、未知海面和现实行动同时被放大。</x:v>
      </x:c>
      <x:c r="O32" s="44" t="str">
        <x:f>IF(AND(IF(LEFT(B32,1)="1",F32&gt;=50,F32&lt;50),IF(MID(B32,3,1)="1",G32&gt;=50,G32&lt;50),IF(MID(B32,5,1)="1",H32&gt;=50,H32&lt;50),IF(MID(B32,7,1)="1",I32&gt;=50,I32&lt;50),IF(RIGHT(B32,1)="1",J32&gt;=50,J32&lt;50)),"通过","检查")</x:f>
        <x:v>通过</x:v>
      </x:c>
      <x:c r="P32" s="44" t="str">
        <x:v>待人工复核</x:v>
      </x:c>
      <x:c r="Q32" s="44"/>
    </x:row>
    <x:row r="33">
      <x:c r="A33" s="44" t="str">
        <x:v>T32</x:v>
      </x:c>
      <x:c r="B33" s="44" t="str">
        <x:v>1-1-1-1-1</x:v>
      </x:c>
      <x:c r="C33" s="44" t="str">
        <x:v>《最后的审判》</x:v>
      </x:c>
      <x:c r="D33" s="44" t="str">
        <x:v>Michelangelo</x:v>
      </x:c>
      <x:c r="E33" s="44" t="str">
        <x:v>宏大的创造者</x:v>
      </x:c>
      <x:c r="F33" s="44" t="n">
        <x:v>95</x:v>
      </x:c>
      <x:c r="G33" s="44" t="n">
        <x:v>90</x:v>
      </x:c>
      <x:c r="H33" s="44" t="n">
        <x:v>95</x:v>
      </x:c>
      <x:c r="I33" s="44" t="n">
        <x:v>85</x:v>
      </x:c>
      <x:c r="J33" s="44" t="n">
        <x:v>95</x:v>
      </x:c>
      <x:c r="K33" s="44" t="str">
        <x:v>联结 / 秩序 / 强烈 / 探索 / 宏大想象</x:v>
      </x:c>
      <x:c r="L33" s="44" t="str">
        <x:v>你容易被宏大的问题吸引，也愿意把不同力量组织进同一个世界。</x:v>
      </x:c>
      <x:c r="M33" s="44" t="str">
        <x:v>你容易被宏大、复杂而开放的问题吸引。你不仅关注自己的位置，也会同时看见人与人、秩序、情绪和意义之间的关系。你愿意进入高强度的未知，并尝试把不同力量组织成一个完整世界。</x:v>
      </x:c>
      <x:c r="N33" s="44" t="str">
        <x:v>《最后的审判》把大量人物、强烈动作、宗教想象和整体秩序组织进一个宏大体系。它几乎把联结、结构、情感、未知与想象同时推向高位。</x:v>
      </x:c>
      <x:c r="O33" s="44" t="str">
        <x:f>IF(AND(IF(LEFT(B33,1)="1",F33&gt;=50,F33&lt;50),IF(MID(B33,3,1)="1",G33&gt;=50,G33&lt;50),IF(MID(B33,5,1)="1",H33&gt;=50,H33&lt;50),IF(MID(B33,7,1)="1",I33&gt;=50,I33&lt;50),IF(RIGHT(B33,1)="1",J33&gt;=50,J33&lt;50)),"通过","检查")</x:f>
        <x:v>通过</x:v>
      </x:c>
      <x:c r="P33" s="44" t="str">
        <x:v>待人工复核</x:v>
      </x:c>
      <x:c r="Q33" s="44"/>
    </x:row>
  </x:sheetData>
  <x:conditionalFormatting sqref="F2:J33">
    <x:cfRule type="colorScale" priority="1">
      <x:colorScale>
        <x:cfvo type="min"/>
        <x:cfvo type="percentile" val="50"/>
        <x:cfvo type="max"/>
        <x:color rgb="FFE8EEF2"/>
        <x:color rgb="FFF3EBD9"/>
        <x:color rgb="FFD7E6D2"/>
      </x:colorScale>
    </x:cfRule>
  </x:conditionalFormatting>
  <x:conditionalFormatting sqref="O2:O33">
    <x:cfRule type="expression" dxfId="0" priority="2">
      <x:formula>O2="检查"</x:formula>
    </x:cfRule>
    <x:cfRule type="expression" dxfId="1" priority="3">
      <x:formula>O2="通过"</x:formula>
    </x:cfRule>
  </x:conditionalFormatting>
  <x:dataValidations count="1">
    <x:dataValidation type="list" sqref="P2:P33">
      <x:formula1>"待人工复核,已确认,需修改"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5" hidden="0" customWidth="1"/>
  </x:cols>
  <x:sheetData>
    <x:row r="1">
      <x:c r="A1" s="46" t="str">
        <x:v>项目</x:v>
      </x:c>
      <x:c r="B1" s="46" t="str">
        <x:v>说明</x:v>
      </x:c>
    </x:row>
    <x:row r="2">
      <x:c r="A2" s="11" t="str">
        <x:v>版本</x:v>
      </x:c>
      <x:c r="B2" s="11" t="str">
        <x:v>V0.6 / 内容资产第一版</x:v>
      </x:c>
    </x:row>
    <x:row r="3">
      <x:c r="A3" s="11" t="str">
        <x:v>核心资产</x:v>
      </x:c>
      <x:c r="B3" s="11" t="str">
        <x:v>32幅锚点作品连续五维评分 + 32套结果叙事</x:v>
      </x:c>
    </x:row>
    <x:row r="4">
      <x:c r="A4" s="11" t="str">
        <x:v>分值规则</x:v>
      </x:c>
      <x:c r="B4" s="11" t="str">
        <x:v>0–100；本版采用5分刻度，避免假精确。</x:v>
      </x:c>
    </x:row>
    <x:row r="5">
      <x:c r="A5" s="11" t="str">
        <x:v>评分性质</x:v>
      </x:c>
      <x:c r="B5" s="11" t="str">
        <x:v>产品中的专家解释性标注，不是艺术史客观事实，也不是心理诊断分数。</x:v>
      </x:c>
    </x:row>
    <x:row r="6">
      <x:c r="A6" s="11" t="str">
        <x:v>类型规则</x:v>
      </x:c>
      <x:c r="B6" s="11" t="str">
        <x:v>编码1代表该维度高侧（&gt;=50），0代表低侧（&lt;50）。</x:v>
      </x:c>
    </x:row>
    <x:row r="7">
      <x:c r="A7" s="11" t="str">
        <x:v>叙事结构</x:v>
      </x:c>
      <x:c r="B7" s="11" t="str">
        <x:v>人生原型名 + Hit Line + Life Narrative + Why This Artwork + 关键词。</x:v>
      </x:c>
    </x:row>
    <x:row r="8">
      <x:c r="A8" s="11" t="str">
        <x:v>使用建议</x:v>
      </x:c>
      <x:c r="B8" s="11" t="str">
        <x:v>结果页先呈现画作与Hit Line，再呈现人生叙事、理性解释和五维数据。</x:v>
      </x:c>
    </x:row>
    <x:row r="9">
      <x:c r="A9" s="11" t="str">
        <x:v>审核要求</x:v>
      </x:c>
      <x:c r="B9" s="11" t="str">
        <x:v>正式上线前建议对32幅作品的艺术史适配、版权图源和文案做第二轮人工复核。</x:v>
      </x:c>
    </x:row>
    <x:row r="10">
      <x:c r="A10" s="11" t="str">
        <x:v>后续校准</x:v>
      </x:c>
      <x:c r="B10" s="11" t="str">
        <x:v>上线后使用“这幅画像你吗”评分校准作品向量，但保留专家评分作为先验。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7" t="str">
        <x:v>指标</x:v>
      </x:c>
      <x:c r="B1" s="47" t="str">
        <x:v>Connection</x:v>
      </x:c>
      <x:c r="C1" s="47" t="str">
        <x:v>Structure</x:v>
      </x:c>
      <x:c r="D1" s="47" t="str">
        <x:v>Affect</x:v>
      </x:c>
      <x:c r="E1" s="47" t="str">
        <x:v>Exploration</x:v>
      </x:c>
      <x:c r="F1" s="47" t="str">
        <x:v>Imagination</x:v>
      </x:c>
    </x:row>
    <x:row r="2">
      <x:c r="A2" s="11" t="str">
        <x:v>最小值</x:v>
      </x:c>
      <x:c r="B2" s="11" t="n">
        <x:f>MIN('连续评分与叙事'!F2:F33)</x:f>
        <x:v>10</x:v>
      </x:c>
      <x:c r="C2" s="11" t="n">
        <x:f>MIN('连续评分与叙事'!G2:G33)</x:f>
        <x:v>25</x:v>
      </x:c>
      <x:c r="D2" s="11" t="n">
        <x:f>MIN('连续评分与叙事'!H2:H33)</x:f>
        <x:v>20</x:v>
      </x:c>
      <x:c r="E2" s="11" t="n">
        <x:f>MIN('连续评分与叙事'!I2:I33)</x:f>
        <x:v>20</x:v>
      </x:c>
      <x:c r="F2" s="11" t="n">
        <x:f>MIN('连续评分与叙事'!J2:J33)</x:f>
        <x:v>20</x:v>
      </x:c>
    </x:row>
    <x:row r="3">
      <x:c r="A3" s="11" t="str">
        <x:v>最大值</x:v>
      </x:c>
      <x:c r="B3" s="11" t="n">
        <x:f>MAX('连续评分与叙事'!F2:F33)</x:f>
        <x:v>95</x:v>
      </x:c>
      <x:c r="C3" s="11" t="n">
        <x:f>MAX('连续评分与叙事'!G2:G33)</x:f>
        <x:v>95</x:v>
      </x:c>
      <x:c r="D3" s="11" t="n">
        <x:f>MAX('连续评分与叙事'!H2:H33)</x:f>
        <x:v>95</x:v>
      </x:c>
      <x:c r="E3" s="11" t="n">
        <x:f>MAX('连续评分与叙事'!I2:I33)</x:f>
        <x:v>90</x:v>
      </x:c>
      <x:c r="F3" s="11" t="n">
        <x:f>MAX('连续评分与叙事'!J2:J33)</x:f>
        <x:v>95</x:v>
      </x:c>
    </x:row>
    <x:row r="4">
      <x:c r="A4" s="11" t="str">
        <x:v>平均值</x:v>
      </x:c>
      <x:c r="B4" s="11" t="n">
        <x:f>AVERAGE('连续评分与叙事'!F2:F33)</x:f>
        <x:v>49.375</x:v>
      </x:c>
      <x:c r="C4" s="11" t="n">
        <x:f>AVERAGE('连续评分与叙事'!G2:G33)</x:f>
        <x:v>56.09375</x:v>
      </x:c>
      <x:c r="D4" s="11" t="n">
        <x:f>AVERAGE('连续评分与叙事'!H2:H33)</x:f>
        <x:v>58.90625</x:v>
      </x:c>
      <x:c r="E4" s="11" t="n">
        <x:f>AVERAGE('连续评分与叙事'!I2:I33)</x:f>
        <x:v>54.375</x:v>
      </x:c>
      <x:c r="F4" s="11" t="n">
        <x:f>AVERAGE('连续评分与叙事'!J2:J33)</x:f>
        <x:v>55.3125</x:v>
      </x:c>
    </x:row>
    <x:row r="5">
      <x:c r="A5" s="11" t="str">
        <x:v>低侧数量(&lt;50)</x:v>
      </x:c>
      <x:c r="B5" s="11" t="n">
        <x:f>COUNTIF('连续评分与叙事'!F2:F33,"&lt;50")</x:f>
        <x:v>16</x:v>
      </x:c>
      <x:c r="C5" s="11" t="n">
        <x:f>COUNTIF('连续评分与叙事'!G2:G33,"&lt;50")</x:f>
        <x:v>16</x:v>
      </x:c>
      <x:c r="D5" s="11" t="n">
        <x:f>COUNTIF('连续评分与叙事'!H2:H33,"&lt;50")</x:f>
        <x:v>16</x:v>
      </x:c>
      <x:c r="E5" s="11" t="n">
        <x:f>COUNTIF('连续评分与叙事'!I2:I33,"&lt;50")</x:f>
        <x:v>16</x:v>
      </x:c>
      <x:c r="F5" s="11" t="n">
        <x:f>COUNTIF('连续评分与叙事'!J2:J33,"&lt;50")</x:f>
        <x:v>16</x:v>
      </x:c>
    </x:row>
    <x:row r="6">
      <x:c r="A6" s="11" t="str">
        <x:v>高侧数量(&gt;=50)</x:v>
      </x:c>
      <x:c r="B6" s="11" t="n">
        <x:f>COUNTIF('连续评分与叙事'!F2:F33,"&gt;=50")</x:f>
        <x:v>16</x:v>
      </x:c>
      <x:c r="C6" s="11" t="n">
        <x:f>COUNTIF('连续评分与叙事'!G2:G33,"&gt;=50")</x:f>
        <x:v>16</x:v>
      </x:c>
      <x:c r="D6" s="11" t="n">
        <x:f>COUNTIF('连续评分与叙事'!H2:H33,"&gt;=50")</x:f>
        <x:v>16</x:v>
      </x:c>
      <x:c r="E6" s="11" t="n">
        <x:f>COUNTIF('连续评分与叙事'!I2:I33,"&gt;=50")</x:f>
        <x:v>16</x:v>
      </x:c>
      <x:c r="F6" s="11" t="n">
        <x:f>COUNTIF('连续评分与叙事'!J2:J33,"&gt;=50")</x:f>
        <x:v>16</x:v>
      </x:c>
    </x:row>
    <x:row r="7">
      <x:c r="A7" s="11" t="str">
        <x:v>设计目标</x:v>
      </x:c>
      <x:c r="B7" s="11" t="str">
        <x:v>16低 / 16高</x:v>
      </x:c>
      <x:c r="C7" s="11" t="str">
        <x:v>16低 / 16高</x:v>
      </x:c>
      <x:c r="D7" s="11" t="str">
        <x:v>16低 / 16高</x:v>
      </x:c>
      <x:c r="E7" s="11" t="str">
        <x:v>16低 / 16高</x:v>
      </x:c>
      <x:c r="F7" s="11" t="str">
        <x:v>16低 / 16高</x:v>
      </x:c>
    </x:row>
    <x:row r="8">
      <x:c r="A8" s="11"/>
      <x:c r="B8" s="11"/>
      <x:c r="C8" s="11"/>
      <x:c r="D8" s="11"/>
      <x:c r="E8" s="11"/>
      <x:c r="F8" s="11"/>
    </x:row>
    <x:row r="9">
      <x:c r="A9" s="46" t="str">
        <x:v>类型一致性检查</x:v>
      </x:c>
      <x:c r="B9" s="46" t="str">
        <x:v>数量</x:v>
      </x:c>
      <x:c r="C9" s="11"/>
      <x:c r="D9" s="11"/>
      <x:c r="E9" s="11"/>
      <x:c r="F9" s="11"/>
    </x:row>
    <x:row r="10">
      <x:c r="A10" s="11" t="str">
        <x:v>通过</x:v>
      </x:c>
      <x:c r="B10" s="11" t="n">
        <x:f>COUNTIF('连续评分与叙事'!O2:O33,"通过")</x:f>
        <x:v>32</x:v>
      </x:c>
      <x:c r="C10" s="11"/>
      <x:c r="D10" s="11"/>
      <x:c r="E10" s="11"/>
      <x:c r="F10" s="11"/>
    </x:row>
    <x:row r="11">
      <x:c r="A11" s="11" t="str">
        <x:v>检查</x:v>
      </x:c>
      <x:c r="B11" s="11" t="n">
        <x:f>COUNTIF('连续评分与叙事'!O2:O33,"检查")</x:f>
        <x:v>0</x:v>
      </x:c>
      <x:c r="C11" s="11"/>
      <x:c r="D11" s="11"/>
      <x:c r="E11" s="11"/>
      <x:c r="F11" s="11"/>
    </x:row>
  </x:sheetData>
  <x:pageMargins left="0.7" right="0.7" top="0.75" bottom="0.75" header="0.3" footer="0.3"/>
</x:worksheet>
</file>